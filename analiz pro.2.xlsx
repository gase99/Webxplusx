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2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drawings/drawing3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codeName="ThisWorkbook" defaultThemeVersion="124226"/>
  <xr:revisionPtr revIDLastSave="0" documentId="13_ncr:1000001_{5F6B3A5B-F001-D149-9CC2-9CDE0A7239B9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کابینت زمینی" sheetId="1" r:id="rId1"/>
    <sheet name="آنالیز زمینی" sheetId="2" r:id="rId2"/>
    <sheet name="کابینت هوایی" sheetId="3" r:id="rId3"/>
    <sheet name="آنالیز هوایی" sheetId="4" r:id="rId4"/>
    <sheet name="کشو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6" i="3" l="1"/>
  <c r="N59" i="3"/>
  <c r="N52" i="3"/>
  <c r="N45" i="3"/>
  <c r="N38" i="3"/>
  <c r="N31" i="3"/>
  <c r="N24" i="3"/>
  <c r="N17" i="3"/>
  <c r="N10" i="3"/>
  <c r="N3" i="3"/>
  <c r="N136" i="3"/>
  <c r="N129" i="3"/>
  <c r="N122" i="3"/>
  <c r="N115" i="3"/>
  <c r="N108" i="3"/>
  <c r="N101" i="3"/>
  <c r="N94" i="3"/>
  <c r="N87" i="3"/>
  <c r="N80" i="3"/>
  <c r="N73" i="3"/>
  <c r="H5" i="5"/>
  <c r="J5" i="5"/>
  <c r="L5" i="5"/>
  <c r="J6" i="5"/>
  <c r="L6" i="5"/>
  <c r="J4" i="5"/>
  <c r="L4" i="5"/>
  <c r="H6" i="5"/>
  <c r="H4" i="5"/>
  <c r="D86" i="2"/>
  <c r="F86" i="2"/>
  <c r="H87" i="1"/>
  <c r="H86" i="2"/>
  <c r="D85" i="2"/>
  <c r="D84" i="2"/>
  <c r="D87" i="1"/>
  <c r="H84" i="2"/>
  <c r="P139" i="3"/>
  <c r="S48" i="4"/>
  <c r="O136" i="3"/>
  <c r="R48" i="4"/>
  <c r="Q48" i="4"/>
  <c r="P132" i="3"/>
  <c r="S47" i="4"/>
  <c r="O129" i="3"/>
  <c r="R47" i="4"/>
  <c r="Q47" i="4"/>
  <c r="P125" i="3"/>
  <c r="S46" i="4"/>
  <c r="O122" i="3"/>
  <c r="R46" i="4"/>
  <c r="Q46" i="4"/>
  <c r="P118" i="3"/>
  <c r="S45" i="4"/>
  <c r="O115" i="3"/>
  <c r="R45" i="4"/>
  <c r="Q45" i="4"/>
  <c r="P111" i="3"/>
  <c r="S44" i="4"/>
  <c r="O108" i="3"/>
  <c r="R44" i="4"/>
  <c r="Q44" i="4"/>
  <c r="P104" i="3"/>
  <c r="S43" i="4"/>
  <c r="O101" i="3"/>
  <c r="R43" i="4"/>
  <c r="Q43" i="4"/>
  <c r="P97" i="3"/>
  <c r="S42" i="4"/>
  <c r="O94" i="3"/>
  <c r="R42" i="4"/>
  <c r="Q42" i="4"/>
  <c r="P90" i="3"/>
  <c r="S41" i="4"/>
  <c r="O87" i="3"/>
  <c r="R41" i="4"/>
  <c r="Q41" i="4"/>
  <c r="P83" i="3"/>
  <c r="S40" i="4"/>
  <c r="O80" i="3"/>
  <c r="R40" i="4"/>
  <c r="Q40" i="4"/>
  <c r="P76" i="3"/>
  <c r="S39" i="4"/>
  <c r="O73" i="3"/>
  <c r="R39" i="4"/>
  <c r="Q39" i="4"/>
  <c r="P69" i="3"/>
  <c r="S38" i="4"/>
  <c r="O66" i="3"/>
  <c r="R38" i="4"/>
  <c r="Q38" i="4"/>
  <c r="P62" i="3"/>
  <c r="S37" i="4"/>
  <c r="O59" i="3"/>
  <c r="R37" i="4"/>
  <c r="Q37" i="4"/>
  <c r="P55" i="3"/>
  <c r="S36" i="4"/>
  <c r="O52" i="3"/>
  <c r="R36" i="4"/>
  <c r="Q36" i="4"/>
  <c r="P48" i="3"/>
  <c r="S35" i="4"/>
  <c r="O45" i="3"/>
  <c r="R35" i="4"/>
  <c r="Q35" i="4"/>
  <c r="P41" i="3"/>
  <c r="S34" i="4"/>
  <c r="O38" i="3"/>
  <c r="R34" i="4"/>
  <c r="Q34" i="4"/>
  <c r="P34" i="3"/>
  <c r="S33" i="4"/>
  <c r="O31" i="3"/>
  <c r="R33" i="4"/>
  <c r="Q33" i="4"/>
  <c r="P27" i="3"/>
  <c r="S32" i="4"/>
  <c r="O24" i="3"/>
  <c r="R32" i="4"/>
  <c r="Q32" i="4"/>
  <c r="P20" i="3"/>
  <c r="S31" i="4"/>
  <c r="O17" i="3"/>
  <c r="R31" i="4"/>
  <c r="Q31" i="4"/>
  <c r="P13" i="3"/>
  <c r="S30" i="4"/>
  <c r="O10" i="3"/>
  <c r="R30" i="4"/>
  <c r="Q30" i="4"/>
  <c r="P6" i="3"/>
  <c r="S29" i="4"/>
  <c r="O3" i="3"/>
  <c r="R29" i="4"/>
  <c r="Q29" i="4"/>
  <c r="N90" i="1"/>
  <c r="V32" i="2"/>
  <c r="M87" i="1"/>
  <c r="U32" i="2"/>
  <c r="T32" i="2"/>
  <c r="N82" i="1"/>
  <c r="V31" i="2"/>
  <c r="M79" i="1"/>
  <c r="U31" i="2"/>
  <c r="T31" i="2"/>
  <c r="N74" i="1"/>
  <c r="V30" i="2"/>
  <c r="M71" i="1"/>
  <c r="U30" i="2"/>
  <c r="T30" i="2"/>
  <c r="N66" i="1"/>
  <c r="V29" i="2"/>
  <c r="M63" i="1"/>
  <c r="U29" i="2"/>
  <c r="T29" i="2"/>
  <c r="N58" i="1"/>
  <c r="V28" i="2"/>
  <c r="M55" i="1"/>
  <c r="U28" i="2"/>
  <c r="T28" i="2"/>
  <c r="N50" i="1"/>
  <c r="V27" i="2"/>
  <c r="M47" i="1"/>
  <c r="U27" i="2"/>
  <c r="T27" i="2"/>
  <c r="N42" i="1"/>
  <c r="V26" i="2"/>
  <c r="M39" i="1"/>
  <c r="U26" i="2"/>
  <c r="T26" i="2"/>
  <c r="N34" i="1"/>
  <c r="V25" i="2"/>
  <c r="M31" i="1"/>
  <c r="U25" i="2"/>
  <c r="T25" i="2"/>
  <c r="N24" i="1"/>
  <c r="V24" i="2"/>
  <c r="M21" i="1"/>
  <c r="U24" i="2"/>
  <c r="T24" i="2"/>
  <c r="N15" i="1"/>
  <c r="V23" i="2"/>
  <c r="M12" i="1"/>
  <c r="U23" i="2"/>
  <c r="T23" i="2"/>
  <c r="N5" i="1"/>
  <c r="V22" i="2"/>
  <c r="M2" i="1"/>
  <c r="U22" i="2"/>
  <c r="T22" i="2"/>
  <c r="H122" i="3"/>
  <c r="H142" i="4"/>
  <c r="L90" i="4"/>
  <c r="H4" i="4"/>
  <c r="L4" i="4"/>
  <c r="F10" i="3"/>
  <c r="H13" i="4"/>
  <c r="L10" i="4"/>
  <c r="S23" i="4"/>
  <c r="S22" i="4"/>
  <c r="F129" i="3"/>
  <c r="M129" i="3"/>
  <c r="R22" i="4"/>
  <c r="Q22" i="4"/>
  <c r="S21" i="4"/>
  <c r="F122" i="3"/>
  <c r="M122" i="3"/>
  <c r="R21" i="4"/>
  <c r="Q21" i="4"/>
  <c r="S20" i="4"/>
  <c r="F115" i="3"/>
  <c r="M115" i="3"/>
  <c r="R20" i="4"/>
  <c r="Q20" i="4"/>
  <c r="S19" i="4"/>
  <c r="F108" i="3"/>
  <c r="M108" i="3"/>
  <c r="R19" i="4"/>
  <c r="Q19" i="4"/>
  <c r="S18" i="4"/>
  <c r="F101" i="3"/>
  <c r="M101" i="3"/>
  <c r="R18" i="4"/>
  <c r="Q18" i="4"/>
  <c r="S17" i="4"/>
  <c r="F94" i="3"/>
  <c r="M94" i="3"/>
  <c r="R17" i="4"/>
  <c r="Q17" i="4"/>
  <c r="S16" i="4"/>
  <c r="F87" i="3"/>
  <c r="M87" i="3"/>
  <c r="R16" i="4"/>
  <c r="Q16" i="4"/>
  <c r="S15" i="4"/>
  <c r="F80" i="3"/>
  <c r="M80" i="3"/>
  <c r="R15" i="4"/>
  <c r="Q15" i="4"/>
  <c r="S14" i="4"/>
  <c r="F73" i="3"/>
  <c r="M73" i="3"/>
  <c r="R14" i="4"/>
  <c r="Q14" i="4"/>
  <c r="S13" i="4"/>
  <c r="F66" i="3"/>
  <c r="M66" i="3"/>
  <c r="R13" i="4"/>
  <c r="Q13" i="4"/>
  <c r="S12" i="4"/>
  <c r="F59" i="3"/>
  <c r="M59" i="3"/>
  <c r="R12" i="4"/>
  <c r="Q12" i="4"/>
  <c r="S11" i="4"/>
  <c r="F52" i="3"/>
  <c r="M52" i="3"/>
  <c r="R11" i="4"/>
  <c r="Q11" i="4"/>
  <c r="S10" i="4"/>
  <c r="F45" i="3"/>
  <c r="M45" i="3"/>
  <c r="R10" i="4"/>
  <c r="Q10" i="4"/>
  <c r="S9" i="4"/>
  <c r="F38" i="3"/>
  <c r="M38" i="3"/>
  <c r="R9" i="4"/>
  <c r="Q9" i="4"/>
  <c r="S8" i="4"/>
  <c r="F31" i="3"/>
  <c r="M31" i="3"/>
  <c r="R8" i="4"/>
  <c r="Q8" i="4"/>
  <c r="S7" i="4"/>
  <c r="F24" i="3"/>
  <c r="M24" i="3"/>
  <c r="R7" i="4"/>
  <c r="Q7" i="4"/>
  <c r="S6" i="4"/>
  <c r="F17" i="3"/>
  <c r="M17" i="3"/>
  <c r="R6" i="4"/>
  <c r="Q6" i="4"/>
  <c r="S5" i="4"/>
  <c r="M10" i="3"/>
  <c r="R5" i="4"/>
  <c r="Q5" i="4"/>
  <c r="S4" i="4"/>
  <c r="F160" i="4"/>
  <c r="M102" i="4"/>
  <c r="D159" i="4"/>
  <c r="N101" i="4"/>
  <c r="I136" i="3"/>
  <c r="F159" i="4"/>
  <c r="M101" i="4"/>
  <c r="D158" i="4"/>
  <c r="N100" i="4"/>
  <c r="G136" i="3"/>
  <c r="F158" i="4"/>
  <c r="M100" i="4"/>
  <c r="F157" i="4"/>
  <c r="M99" i="4"/>
  <c r="F156" i="4"/>
  <c r="M98" i="4"/>
  <c r="H156" i="4"/>
  <c r="L98" i="4"/>
  <c r="F152" i="4"/>
  <c r="M97" i="4"/>
  <c r="L129" i="3"/>
  <c r="H152" i="4"/>
  <c r="L97" i="4"/>
  <c r="D151" i="4"/>
  <c r="N96" i="4"/>
  <c r="I129" i="3"/>
  <c r="F151" i="4"/>
  <c r="M96" i="4"/>
  <c r="J129" i="3"/>
  <c r="H151" i="4"/>
  <c r="L96" i="4"/>
  <c r="G129" i="3"/>
  <c r="F150" i="4"/>
  <c r="M95" i="4"/>
  <c r="H129" i="3"/>
  <c r="H150" i="4"/>
  <c r="L95" i="4"/>
  <c r="F149" i="4"/>
  <c r="M94" i="4"/>
  <c r="H149" i="4"/>
  <c r="L94" i="4"/>
  <c r="F148" i="4"/>
  <c r="M93" i="4"/>
  <c r="H148" i="4"/>
  <c r="L93" i="4"/>
  <c r="D144" i="4"/>
  <c r="N92" i="4"/>
  <c r="F144" i="4"/>
  <c r="M92" i="4"/>
  <c r="L122" i="3"/>
  <c r="H144" i="4"/>
  <c r="L92" i="4"/>
  <c r="D143" i="4"/>
  <c r="N91" i="4"/>
  <c r="I122" i="3"/>
  <c r="F143" i="4"/>
  <c r="M91" i="4"/>
  <c r="J122" i="3"/>
  <c r="H143" i="4"/>
  <c r="L91" i="4"/>
  <c r="G122" i="3"/>
  <c r="F142" i="4"/>
  <c r="M90" i="4"/>
  <c r="F141" i="4"/>
  <c r="M89" i="4"/>
  <c r="H141" i="4"/>
  <c r="L89" i="4"/>
  <c r="F140" i="4"/>
  <c r="M88" i="4"/>
  <c r="H140" i="4"/>
  <c r="L88" i="4"/>
  <c r="D136" i="4"/>
  <c r="N87" i="4"/>
  <c r="F136" i="4"/>
  <c r="M87" i="4"/>
  <c r="L115" i="3"/>
  <c r="H136" i="4"/>
  <c r="L87" i="4"/>
  <c r="D135" i="4"/>
  <c r="N86" i="4"/>
  <c r="I115" i="3"/>
  <c r="F135" i="4"/>
  <c r="M86" i="4"/>
  <c r="J115" i="3"/>
  <c r="H135" i="4"/>
  <c r="L86" i="4"/>
  <c r="D134" i="4"/>
  <c r="N85" i="4"/>
  <c r="G115" i="3"/>
  <c r="F134" i="4"/>
  <c r="M85" i="4"/>
  <c r="H115" i="3"/>
  <c r="H134" i="4"/>
  <c r="L85" i="4"/>
  <c r="F133" i="4"/>
  <c r="M84" i="4"/>
  <c r="H133" i="4"/>
  <c r="L84" i="4"/>
  <c r="D132" i="4"/>
  <c r="N83" i="4"/>
  <c r="F132" i="4"/>
  <c r="M83" i="4"/>
  <c r="H132" i="4"/>
  <c r="L83" i="4"/>
  <c r="D128" i="4"/>
  <c r="N82" i="4"/>
  <c r="F128" i="4"/>
  <c r="M82" i="4"/>
  <c r="L108" i="3"/>
  <c r="H128" i="4"/>
  <c r="L82" i="4"/>
  <c r="D127" i="4"/>
  <c r="N81" i="4"/>
  <c r="I108" i="3"/>
  <c r="F127" i="4"/>
  <c r="M81" i="4"/>
  <c r="J108" i="3"/>
  <c r="H127" i="4"/>
  <c r="L81" i="4"/>
  <c r="D126" i="4"/>
  <c r="N80" i="4"/>
  <c r="G108" i="3"/>
  <c r="F126" i="4"/>
  <c r="M80" i="4"/>
  <c r="H108" i="3"/>
  <c r="H126" i="4"/>
  <c r="L80" i="4"/>
  <c r="F125" i="4"/>
  <c r="M79" i="4"/>
  <c r="H125" i="4"/>
  <c r="L79" i="4"/>
  <c r="F124" i="4"/>
  <c r="M78" i="4"/>
  <c r="H124" i="4"/>
  <c r="L78" i="4"/>
  <c r="F120" i="4"/>
  <c r="M77" i="4"/>
  <c r="L101" i="3"/>
  <c r="H120" i="4"/>
  <c r="L77" i="4"/>
  <c r="D119" i="4"/>
  <c r="N76" i="4"/>
  <c r="I101" i="3"/>
  <c r="F119" i="4"/>
  <c r="M76" i="4"/>
  <c r="J101" i="3"/>
  <c r="H119" i="4"/>
  <c r="L76" i="4"/>
  <c r="G101" i="3"/>
  <c r="F118" i="4"/>
  <c r="M75" i="4"/>
  <c r="H101" i="3"/>
  <c r="H118" i="4"/>
  <c r="L75" i="4"/>
  <c r="F117" i="4"/>
  <c r="M74" i="4"/>
  <c r="H117" i="4"/>
  <c r="L74" i="4"/>
  <c r="F116" i="4"/>
  <c r="M73" i="4"/>
  <c r="H116" i="4"/>
  <c r="L73" i="4"/>
  <c r="D112" i="4"/>
  <c r="N72" i="4"/>
  <c r="F112" i="4"/>
  <c r="M72" i="4"/>
  <c r="L94" i="3"/>
  <c r="H112" i="4"/>
  <c r="L72" i="4"/>
  <c r="D111" i="4"/>
  <c r="N71" i="4"/>
  <c r="I94" i="3"/>
  <c r="F111" i="4"/>
  <c r="M71" i="4"/>
  <c r="J94" i="3"/>
  <c r="H111" i="4"/>
  <c r="L71" i="4"/>
  <c r="G94" i="3"/>
  <c r="F110" i="4"/>
  <c r="M70" i="4"/>
  <c r="H94" i="3"/>
  <c r="H110" i="4"/>
  <c r="L70" i="4"/>
  <c r="D109" i="4"/>
  <c r="N69" i="4"/>
  <c r="F109" i="4"/>
  <c r="M69" i="4"/>
  <c r="H109" i="4"/>
  <c r="L69" i="4"/>
  <c r="F108" i="4"/>
  <c r="M68" i="4"/>
  <c r="H108" i="4"/>
  <c r="L68" i="4"/>
  <c r="F104" i="4"/>
  <c r="M67" i="4"/>
  <c r="L87" i="3"/>
  <c r="H104" i="4"/>
  <c r="L67" i="4"/>
  <c r="D103" i="4"/>
  <c r="N66" i="4"/>
  <c r="I87" i="3"/>
  <c r="F103" i="4"/>
  <c r="M66" i="4"/>
  <c r="J87" i="3"/>
  <c r="H103" i="4"/>
  <c r="L66" i="4"/>
  <c r="G87" i="3"/>
  <c r="F102" i="4"/>
  <c r="M65" i="4"/>
  <c r="H87" i="3"/>
  <c r="H102" i="4"/>
  <c r="L65" i="4"/>
  <c r="F101" i="4"/>
  <c r="M64" i="4"/>
  <c r="H101" i="4"/>
  <c r="L64" i="4"/>
  <c r="F100" i="4"/>
  <c r="M63" i="4"/>
  <c r="H100" i="4"/>
  <c r="L63" i="4"/>
  <c r="F96" i="4"/>
  <c r="M62" i="4"/>
  <c r="L80" i="3"/>
  <c r="H96" i="4"/>
  <c r="L62" i="4"/>
  <c r="D95" i="4"/>
  <c r="N61" i="4"/>
  <c r="I80" i="3"/>
  <c r="F95" i="4"/>
  <c r="M61" i="4"/>
  <c r="J80" i="3"/>
  <c r="H95" i="4"/>
  <c r="L61" i="4"/>
  <c r="D94" i="4"/>
  <c r="N60" i="4"/>
  <c r="G80" i="3"/>
  <c r="F94" i="4"/>
  <c r="M60" i="4"/>
  <c r="H80" i="3"/>
  <c r="H94" i="4"/>
  <c r="L60" i="4"/>
  <c r="D93" i="4"/>
  <c r="N59" i="4"/>
  <c r="F93" i="4"/>
  <c r="M59" i="4"/>
  <c r="H93" i="4"/>
  <c r="L59" i="4"/>
  <c r="F92" i="4"/>
  <c r="M58" i="4"/>
  <c r="H92" i="4"/>
  <c r="L58" i="4"/>
  <c r="F88" i="4"/>
  <c r="M57" i="4"/>
  <c r="L73" i="3"/>
  <c r="H88" i="4"/>
  <c r="L57" i="4"/>
  <c r="D87" i="4"/>
  <c r="N56" i="4"/>
  <c r="I73" i="3"/>
  <c r="F87" i="4"/>
  <c r="M56" i="4"/>
  <c r="J73" i="3"/>
  <c r="H87" i="4"/>
  <c r="L56" i="4"/>
  <c r="G73" i="3"/>
  <c r="F86" i="4"/>
  <c r="M55" i="4"/>
  <c r="H73" i="3"/>
  <c r="H86" i="4"/>
  <c r="L55" i="4"/>
  <c r="F85" i="4"/>
  <c r="M54" i="4"/>
  <c r="H85" i="4"/>
  <c r="L54" i="4"/>
  <c r="F84" i="4"/>
  <c r="M53" i="4"/>
  <c r="H84" i="4"/>
  <c r="L53" i="4"/>
  <c r="F80" i="4"/>
  <c r="M52" i="4"/>
  <c r="L66" i="3"/>
  <c r="H80" i="4"/>
  <c r="L52" i="4"/>
  <c r="D79" i="4"/>
  <c r="N51" i="4"/>
  <c r="I66" i="3"/>
  <c r="F79" i="4"/>
  <c r="M51" i="4"/>
  <c r="J66" i="3"/>
  <c r="H79" i="4"/>
  <c r="L51" i="4"/>
  <c r="G66" i="3"/>
  <c r="F78" i="4"/>
  <c r="M50" i="4"/>
  <c r="H66" i="3"/>
  <c r="H78" i="4"/>
  <c r="L50" i="4"/>
  <c r="F77" i="4"/>
  <c r="M49" i="4"/>
  <c r="H77" i="4"/>
  <c r="L49" i="4"/>
  <c r="F76" i="4"/>
  <c r="M48" i="4"/>
  <c r="H76" i="4"/>
  <c r="L48" i="4"/>
  <c r="F72" i="4"/>
  <c r="M47" i="4"/>
  <c r="L59" i="3"/>
  <c r="H72" i="4"/>
  <c r="L47" i="4"/>
  <c r="D71" i="4"/>
  <c r="N46" i="4"/>
  <c r="I59" i="3"/>
  <c r="F71" i="4"/>
  <c r="M46" i="4"/>
  <c r="J59" i="3"/>
  <c r="H71" i="4"/>
  <c r="L46" i="4"/>
  <c r="G59" i="3"/>
  <c r="F70" i="4"/>
  <c r="M45" i="4"/>
  <c r="H59" i="3"/>
  <c r="H70" i="4"/>
  <c r="L45" i="4"/>
  <c r="F69" i="4"/>
  <c r="M44" i="4"/>
  <c r="H69" i="4"/>
  <c r="L44" i="4"/>
  <c r="F68" i="4"/>
  <c r="M43" i="4"/>
  <c r="H68" i="4"/>
  <c r="L43" i="4"/>
  <c r="F64" i="4"/>
  <c r="M42" i="4"/>
  <c r="L52" i="3"/>
  <c r="H64" i="4"/>
  <c r="L42" i="4"/>
  <c r="D63" i="4"/>
  <c r="N41" i="4"/>
  <c r="I52" i="3"/>
  <c r="F63" i="4"/>
  <c r="M41" i="4"/>
  <c r="J52" i="3"/>
  <c r="H63" i="4"/>
  <c r="L41" i="4"/>
  <c r="G52" i="3"/>
  <c r="F62" i="4"/>
  <c r="M40" i="4"/>
  <c r="H52" i="3"/>
  <c r="H62" i="4"/>
  <c r="L40" i="4"/>
  <c r="F61" i="4"/>
  <c r="M39" i="4"/>
  <c r="H61" i="4"/>
  <c r="L39" i="4"/>
  <c r="F60" i="4"/>
  <c r="M38" i="4"/>
  <c r="H60" i="4"/>
  <c r="L38" i="4"/>
  <c r="D55" i="4"/>
  <c r="N37" i="4"/>
  <c r="F55" i="4"/>
  <c r="M37" i="4"/>
  <c r="H55" i="4"/>
  <c r="L37" i="4"/>
  <c r="F54" i="4"/>
  <c r="M36" i="4"/>
  <c r="H54" i="4"/>
  <c r="L36" i="4"/>
  <c r="F53" i="4"/>
  <c r="M35" i="4"/>
  <c r="H53" i="4"/>
  <c r="L35" i="4"/>
  <c r="F52" i="4"/>
  <c r="M34" i="4"/>
  <c r="H52" i="4"/>
  <c r="L34" i="4"/>
  <c r="F48" i="4"/>
  <c r="M33" i="4"/>
  <c r="L38" i="3"/>
  <c r="H48" i="4"/>
  <c r="L33" i="4"/>
  <c r="D47" i="4"/>
  <c r="N32" i="4"/>
  <c r="I38" i="3"/>
  <c r="F47" i="4"/>
  <c r="M32" i="4"/>
  <c r="J38" i="3"/>
  <c r="H47" i="4"/>
  <c r="L32" i="4"/>
  <c r="G38" i="3"/>
  <c r="F46" i="4"/>
  <c r="M31" i="4"/>
  <c r="H38" i="3"/>
  <c r="H46" i="4"/>
  <c r="L31" i="4"/>
  <c r="F45" i="4"/>
  <c r="M30" i="4"/>
  <c r="H45" i="4"/>
  <c r="L30" i="4"/>
  <c r="F44" i="4"/>
  <c r="M29" i="4"/>
  <c r="H44" i="4"/>
  <c r="L29" i="4"/>
  <c r="F40" i="4"/>
  <c r="M28" i="4"/>
  <c r="L31" i="3"/>
  <c r="H40" i="4"/>
  <c r="L28" i="4"/>
  <c r="D39" i="4"/>
  <c r="N27" i="4"/>
  <c r="I31" i="3"/>
  <c r="F39" i="4"/>
  <c r="M27" i="4"/>
  <c r="J31" i="3"/>
  <c r="H39" i="4"/>
  <c r="L27" i="4"/>
  <c r="G31" i="3"/>
  <c r="F38" i="4"/>
  <c r="M26" i="4"/>
  <c r="H31" i="3"/>
  <c r="H38" i="4"/>
  <c r="L26" i="4"/>
  <c r="F37" i="4"/>
  <c r="M25" i="4"/>
  <c r="H37" i="4"/>
  <c r="L25" i="4"/>
  <c r="F36" i="4"/>
  <c r="M24" i="4"/>
  <c r="H36" i="4"/>
  <c r="L24" i="4"/>
  <c r="F32" i="4"/>
  <c r="M23" i="4"/>
  <c r="L24" i="3"/>
  <c r="H32" i="4"/>
  <c r="L23" i="4"/>
  <c r="D31" i="4"/>
  <c r="N22" i="4"/>
  <c r="I24" i="3"/>
  <c r="F31" i="4"/>
  <c r="M22" i="4"/>
  <c r="J24" i="3"/>
  <c r="H31" i="4"/>
  <c r="L22" i="4"/>
  <c r="G24" i="3"/>
  <c r="F30" i="4"/>
  <c r="M21" i="4"/>
  <c r="H24" i="3"/>
  <c r="H30" i="4"/>
  <c r="L21" i="4"/>
  <c r="F29" i="4"/>
  <c r="M20" i="4"/>
  <c r="H29" i="4"/>
  <c r="L20" i="4"/>
  <c r="F28" i="4"/>
  <c r="M19" i="4"/>
  <c r="H28" i="4"/>
  <c r="L19" i="4"/>
  <c r="F24" i="4"/>
  <c r="M18" i="4"/>
  <c r="L17" i="3"/>
  <c r="H24" i="4"/>
  <c r="L18" i="4"/>
  <c r="D23" i="4"/>
  <c r="N17" i="4"/>
  <c r="I17" i="3"/>
  <c r="F23" i="4"/>
  <c r="M17" i="4"/>
  <c r="J17" i="3"/>
  <c r="H23" i="4"/>
  <c r="L17" i="4"/>
  <c r="G17" i="3"/>
  <c r="F22" i="4"/>
  <c r="M16" i="4"/>
  <c r="H17" i="3"/>
  <c r="H22" i="4"/>
  <c r="L16" i="4"/>
  <c r="F21" i="4"/>
  <c r="M15" i="4"/>
  <c r="H21" i="4"/>
  <c r="L15" i="4"/>
  <c r="F20" i="4"/>
  <c r="M14" i="4"/>
  <c r="H20" i="4"/>
  <c r="L14" i="4"/>
  <c r="F16" i="4"/>
  <c r="M13" i="4"/>
  <c r="L10" i="3"/>
  <c r="H16" i="4"/>
  <c r="L13" i="4"/>
  <c r="I10" i="3"/>
  <c r="F15" i="4"/>
  <c r="M12" i="4"/>
  <c r="J10" i="3"/>
  <c r="H15" i="4"/>
  <c r="L12" i="4"/>
  <c r="G10" i="3"/>
  <c r="F14" i="4"/>
  <c r="M11" i="4"/>
  <c r="H10" i="3"/>
  <c r="H14" i="4"/>
  <c r="L11" i="4"/>
  <c r="F13" i="4"/>
  <c r="M10" i="4"/>
  <c r="F12" i="4"/>
  <c r="M9" i="4"/>
  <c r="H12" i="4"/>
  <c r="L9" i="4"/>
  <c r="F8" i="4"/>
  <c r="M8" i="4"/>
  <c r="D7" i="4"/>
  <c r="N7" i="4"/>
  <c r="I3" i="3"/>
  <c r="F7" i="4"/>
  <c r="M7" i="4"/>
  <c r="D6" i="4"/>
  <c r="N6" i="4"/>
  <c r="G3" i="3"/>
  <c r="F6" i="4"/>
  <c r="M6" i="4"/>
  <c r="D5" i="4"/>
  <c r="N5" i="4"/>
  <c r="F5" i="4"/>
  <c r="M5" i="4"/>
  <c r="F4" i="4"/>
  <c r="M4" i="4"/>
  <c r="D160" i="4"/>
  <c r="N102" i="4"/>
  <c r="E160" i="4"/>
  <c r="G160" i="4"/>
  <c r="E159" i="4"/>
  <c r="G159" i="4"/>
  <c r="E158" i="4"/>
  <c r="G158" i="4"/>
  <c r="D157" i="4"/>
  <c r="N99" i="4"/>
  <c r="E157" i="4"/>
  <c r="G157" i="4"/>
  <c r="D156" i="4"/>
  <c r="N98" i="4"/>
  <c r="E156" i="4"/>
  <c r="G156" i="4"/>
  <c r="I155" i="4"/>
  <c r="D152" i="4"/>
  <c r="N97" i="4"/>
  <c r="E152" i="4"/>
  <c r="G152" i="4"/>
  <c r="E151" i="4"/>
  <c r="G151" i="4"/>
  <c r="D150" i="4"/>
  <c r="N95" i="4"/>
  <c r="E150" i="4"/>
  <c r="G150" i="4"/>
  <c r="D149" i="4"/>
  <c r="N94" i="4"/>
  <c r="E149" i="4"/>
  <c r="G149" i="4"/>
  <c r="D148" i="4"/>
  <c r="N93" i="4"/>
  <c r="E148" i="4"/>
  <c r="G148" i="4"/>
  <c r="I147" i="4"/>
  <c r="E144" i="4"/>
  <c r="G144" i="4"/>
  <c r="G143" i="4"/>
  <c r="E143" i="4"/>
  <c r="D142" i="4"/>
  <c r="N90" i="4"/>
  <c r="E142" i="4"/>
  <c r="G142" i="4"/>
  <c r="D141" i="4"/>
  <c r="N89" i="4"/>
  <c r="E141" i="4"/>
  <c r="G141" i="4"/>
  <c r="D140" i="4"/>
  <c r="N88" i="4"/>
  <c r="E140" i="4"/>
  <c r="G140" i="4"/>
  <c r="I139" i="4"/>
  <c r="E136" i="4"/>
  <c r="G136" i="4"/>
  <c r="E135" i="4"/>
  <c r="G135" i="4"/>
  <c r="E134" i="4"/>
  <c r="G134" i="4"/>
  <c r="D133" i="4"/>
  <c r="N84" i="4"/>
  <c r="E133" i="4"/>
  <c r="G133" i="4"/>
  <c r="E132" i="4"/>
  <c r="G132" i="4"/>
  <c r="I131" i="4"/>
  <c r="E128" i="4"/>
  <c r="G128" i="4"/>
  <c r="E127" i="4"/>
  <c r="G127" i="4"/>
  <c r="E126" i="4"/>
  <c r="G126" i="4"/>
  <c r="D125" i="4"/>
  <c r="N79" i="4"/>
  <c r="E125" i="4"/>
  <c r="G125" i="4"/>
  <c r="D124" i="4"/>
  <c r="N78" i="4"/>
  <c r="E124" i="4"/>
  <c r="G124" i="4"/>
  <c r="I123" i="4"/>
  <c r="D120" i="4"/>
  <c r="N77" i="4"/>
  <c r="E120" i="4"/>
  <c r="G120" i="4"/>
  <c r="E119" i="4"/>
  <c r="G119" i="4"/>
  <c r="D118" i="4"/>
  <c r="N75" i="4"/>
  <c r="E118" i="4"/>
  <c r="G118" i="4"/>
  <c r="D117" i="4"/>
  <c r="N74" i="4"/>
  <c r="E117" i="4"/>
  <c r="G117" i="4"/>
  <c r="D116" i="4"/>
  <c r="N73" i="4"/>
  <c r="E116" i="4"/>
  <c r="G116" i="4"/>
  <c r="I115" i="4"/>
  <c r="E112" i="4"/>
  <c r="G112" i="4"/>
  <c r="E111" i="4"/>
  <c r="G111" i="4"/>
  <c r="D110" i="4"/>
  <c r="N70" i="4"/>
  <c r="E110" i="4"/>
  <c r="G110" i="4"/>
  <c r="E109" i="4"/>
  <c r="G109" i="4"/>
  <c r="D108" i="4"/>
  <c r="N68" i="4"/>
  <c r="E108" i="4"/>
  <c r="G108" i="4"/>
  <c r="I107" i="4"/>
  <c r="D104" i="4"/>
  <c r="N67" i="4"/>
  <c r="E104" i="4"/>
  <c r="G104" i="4"/>
  <c r="E103" i="4"/>
  <c r="G103" i="4"/>
  <c r="D102" i="4"/>
  <c r="N65" i="4"/>
  <c r="E102" i="4"/>
  <c r="G102" i="4"/>
  <c r="D101" i="4"/>
  <c r="N64" i="4"/>
  <c r="E101" i="4"/>
  <c r="G101" i="4"/>
  <c r="D100" i="4"/>
  <c r="N63" i="4"/>
  <c r="E100" i="4"/>
  <c r="G100" i="4"/>
  <c r="I99" i="4"/>
  <c r="D96" i="4"/>
  <c r="N62" i="4"/>
  <c r="E96" i="4"/>
  <c r="G96" i="4"/>
  <c r="E95" i="4"/>
  <c r="G95" i="4"/>
  <c r="E94" i="4"/>
  <c r="G94" i="4"/>
  <c r="E93" i="4"/>
  <c r="G93" i="4"/>
  <c r="D92" i="4"/>
  <c r="N58" i="4"/>
  <c r="E92" i="4"/>
  <c r="G92" i="4"/>
  <c r="I91" i="4"/>
  <c r="D88" i="4"/>
  <c r="N57" i="4"/>
  <c r="E88" i="4"/>
  <c r="G88" i="4"/>
  <c r="E87" i="4"/>
  <c r="G87" i="4"/>
  <c r="D86" i="4"/>
  <c r="N55" i="4"/>
  <c r="E86" i="4"/>
  <c r="G86" i="4"/>
  <c r="D85" i="4"/>
  <c r="N54" i="4"/>
  <c r="E85" i="4"/>
  <c r="G85" i="4"/>
  <c r="D84" i="4"/>
  <c r="N53" i="4"/>
  <c r="E84" i="4"/>
  <c r="G84" i="4"/>
  <c r="I83" i="4"/>
  <c r="D80" i="4"/>
  <c r="N52" i="4"/>
  <c r="E80" i="4"/>
  <c r="G80" i="4"/>
  <c r="E79" i="4"/>
  <c r="G79" i="4"/>
  <c r="D78" i="4"/>
  <c r="N50" i="4"/>
  <c r="E78" i="4"/>
  <c r="G78" i="4"/>
  <c r="D77" i="4"/>
  <c r="N49" i="4"/>
  <c r="E77" i="4"/>
  <c r="G77" i="4"/>
  <c r="D76" i="4"/>
  <c r="N48" i="4"/>
  <c r="E76" i="4"/>
  <c r="G76" i="4"/>
  <c r="I75" i="4"/>
  <c r="D72" i="4"/>
  <c r="N47" i="4"/>
  <c r="E72" i="4"/>
  <c r="G72" i="4"/>
  <c r="E71" i="4"/>
  <c r="G71" i="4"/>
  <c r="D70" i="4"/>
  <c r="N45" i="4"/>
  <c r="E70" i="4"/>
  <c r="G70" i="4"/>
  <c r="D69" i="4"/>
  <c r="N44" i="4"/>
  <c r="E69" i="4"/>
  <c r="G69" i="4"/>
  <c r="D68" i="4"/>
  <c r="N43" i="4"/>
  <c r="E68" i="4"/>
  <c r="G68" i="4"/>
  <c r="I67" i="4"/>
  <c r="D64" i="4"/>
  <c r="N42" i="4"/>
  <c r="E64" i="4"/>
  <c r="G64" i="4"/>
  <c r="E63" i="4"/>
  <c r="G63" i="4"/>
  <c r="D62" i="4"/>
  <c r="N40" i="4"/>
  <c r="E62" i="4"/>
  <c r="G62" i="4"/>
  <c r="D61" i="4"/>
  <c r="N39" i="4"/>
  <c r="E61" i="4"/>
  <c r="G61" i="4"/>
  <c r="D60" i="4"/>
  <c r="N38" i="4"/>
  <c r="E60" i="4"/>
  <c r="G60" i="4"/>
  <c r="I59" i="4"/>
  <c r="D56" i="4"/>
  <c r="E56" i="4"/>
  <c r="F56" i="4"/>
  <c r="G56" i="4"/>
  <c r="H56" i="4"/>
  <c r="E55" i="4"/>
  <c r="G55" i="4"/>
  <c r="D54" i="4"/>
  <c r="N36" i="4"/>
  <c r="E54" i="4"/>
  <c r="G54" i="4"/>
  <c r="D53" i="4"/>
  <c r="N35" i="4"/>
  <c r="E53" i="4"/>
  <c r="G53" i="4"/>
  <c r="D52" i="4"/>
  <c r="N34" i="4"/>
  <c r="E52" i="4"/>
  <c r="G52" i="4"/>
  <c r="I51" i="4"/>
  <c r="D48" i="4"/>
  <c r="N33" i="4"/>
  <c r="E48" i="4"/>
  <c r="G48" i="4"/>
  <c r="E47" i="4"/>
  <c r="G47" i="4"/>
  <c r="D46" i="4"/>
  <c r="N31" i="4"/>
  <c r="E46" i="4"/>
  <c r="G46" i="4"/>
  <c r="D45" i="4"/>
  <c r="N30" i="4"/>
  <c r="E45" i="4"/>
  <c r="G45" i="4"/>
  <c r="D44" i="4"/>
  <c r="N29" i="4"/>
  <c r="E44" i="4"/>
  <c r="G44" i="4"/>
  <c r="I43" i="4"/>
  <c r="D40" i="4"/>
  <c r="N28" i="4"/>
  <c r="E40" i="4"/>
  <c r="G40" i="4"/>
  <c r="E39" i="4"/>
  <c r="G39" i="4"/>
  <c r="D38" i="4"/>
  <c r="N26" i="4"/>
  <c r="E38" i="4"/>
  <c r="G38" i="4"/>
  <c r="D37" i="4"/>
  <c r="N25" i="4"/>
  <c r="E37" i="4"/>
  <c r="G37" i="4"/>
  <c r="D36" i="4"/>
  <c r="N24" i="4"/>
  <c r="E36" i="4"/>
  <c r="G36" i="4"/>
  <c r="I35" i="4"/>
  <c r="D32" i="4"/>
  <c r="N23" i="4"/>
  <c r="E32" i="4"/>
  <c r="G32" i="4"/>
  <c r="E31" i="4"/>
  <c r="G31" i="4"/>
  <c r="D30" i="4"/>
  <c r="N21" i="4"/>
  <c r="E30" i="4"/>
  <c r="G30" i="4"/>
  <c r="D29" i="4"/>
  <c r="N20" i="4"/>
  <c r="E29" i="4"/>
  <c r="G29" i="4"/>
  <c r="D28" i="4"/>
  <c r="N19" i="4"/>
  <c r="E28" i="4"/>
  <c r="G28" i="4"/>
  <c r="I27" i="4"/>
  <c r="D24" i="4"/>
  <c r="N18" i="4"/>
  <c r="E24" i="4"/>
  <c r="G24" i="4"/>
  <c r="E23" i="4"/>
  <c r="G23" i="4"/>
  <c r="D22" i="4"/>
  <c r="N16" i="4"/>
  <c r="E22" i="4"/>
  <c r="G22" i="4"/>
  <c r="D21" i="4"/>
  <c r="N15" i="4"/>
  <c r="E21" i="4"/>
  <c r="G21" i="4"/>
  <c r="D20" i="4"/>
  <c r="N14" i="4"/>
  <c r="E20" i="4"/>
  <c r="G20" i="4"/>
  <c r="I19" i="4"/>
  <c r="D16" i="4"/>
  <c r="N13" i="4"/>
  <c r="E16" i="4"/>
  <c r="G16" i="4"/>
  <c r="D15" i="4"/>
  <c r="N12" i="4"/>
  <c r="E15" i="4"/>
  <c r="G15" i="4"/>
  <c r="D14" i="4"/>
  <c r="N11" i="4"/>
  <c r="E14" i="4"/>
  <c r="G14" i="4"/>
  <c r="D13" i="4"/>
  <c r="N10" i="4"/>
  <c r="E13" i="4"/>
  <c r="G13" i="4"/>
  <c r="D12" i="4"/>
  <c r="N9" i="4"/>
  <c r="E12" i="4"/>
  <c r="G12" i="4"/>
  <c r="I11" i="4"/>
  <c r="D8" i="4"/>
  <c r="N8" i="4"/>
  <c r="E8" i="4"/>
  <c r="G8" i="4"/>
  <c r="E7" i="4"/>
  <c r="G7" i="4"/>
  <c r="J45" i="3"/>
  <c r="I45" i="3"/>
  <c r="E6" i="4"/>
  <c r="G6" i="4"/>
  <c r="E5" i="4"/>
  <c r="G5" i="4"/>
  <c r="D4" i="4"/>
  <c r="N4" i="4"/>
  <c r="E4" i="4"/>
  <c r="G4" i="4"/>
  <c r="I3" i="4"/>
  <c r="Q23" i="4"/>
  <c r="L136" i="3"/>
  <c r="H160" i="4"/>
  <c r="L102" i="4"/>
  <c r="H136" i="3"/>
  <c r="H158" i="4"/>
  <c r="L100" i="4"/>
  <c r="F136" i="3"/>
  <c r="L45" i="3"/>
  <c r="H45" i="3"/>
  <c r="G45" i="3"/>
  <c r="Q4" i="4"/>
  <c r="L87" i="1"/>
  <c r="L79" i="1"/>
  <c r="L71" i="1"/>
  <c r="L63" i="1"/>
  <c r="L55" i="1"/>
  <c r="L47" i="1"/>
  <c r="L39" i="1"/>
  <c r="L31" i="1"/>
  <c r="L21" i="1"/>
  <c r="L12" i="1"/>
  <c r="L2" i="1"/>
  <c r="L3" i="3"/>
  <c r="H8" i="4"/>
  <c r="L8" i="4"/>
  <c r="H3" i="3"/>
  <c r="H6" i="4"/>
  <c r="L6" i="4"/>
  <c r="F3" i="3"/>
  <c r="M3" i="3"/>
  <c r="R4" i="4"/>
  <c r="M136" i="3"/>
  <c r="R23" i="4"/>
  <c r="H157" i="4"/>
  <c r="L99" i="4"/>
  <c r="J136" i="3"/>
  <c r="H159" i="4"/>
  <c r="L101" i="4"/>
  <c r="H5" i="4"/>
  <c r="L5" i="4"/>
  <c r="J3" i="3"/>
  <c r="H7" i="4"/>
  <c r="L7" i="4"/>
  <c r="D44" i="2"/>
  <c r="Q25" i="2"/>
  <c r="K84" i="2"/>
  <c r="V14" i="2"/>
  <c r="K87" i="1"/>
  <c r="L84" i="2"/>
  <c r="U14" i="2"/>
  <c r="K76" i="2"/>
  <c r="V13" i="2"/>
  <c r="K68" i="2"/>
  <c r="V12" i="2"/>
  <c r="K60" i="2"/>
  <c r="V11" i="2"/>
  <c r="K51" i="2"/>
  <c r="V10" i="2"/>
  <c r="K43" i="2"/>
  <c r="V9" i="2"/>
  <c r="K35" i="2"/>
  <c r="V8" i="2"/>
  <c r="K27" i="2"/>
  <c r="V7" i="2"/>
  <c r="K19" i="2"/>
  <c r="V6" i="2"/>
  <c r="K3" i="2"/>
  <c r="V4" i="2"/>
  <c r="K11" i="2"/>
  <c r="V5" i="2"/>
  <c r="D87" i="2"/>
  <c r="Q55" i="2"/>
  <c r="E87" i="2"/>
  <c r="F87" i="2"/>
  <c r="P55" i="2"/>
  <c r="G87" i="2"/>
  <c r="Q54" i="2"/>
  <c r="E86" i="2"/>
  <c r="P54" i="2"/>
  <c r="G86" i="2"/>
  <c r="Q53" i="2"/>
  <c r="E85" i="2"/>
  <c r="F85" i="2"/>
  <c r="P53" i="2"/>
  <c r="G85" i="2"/>
  <c r="H85" i="2"/>
  <c r="O53" i="2"/>
  <c r="Q52" i="2"/>
  <c r="E84" i="2"/>
  <c r="F84" i="2"/>
  <c r="P52" i="2"/>
  <c r="G84" i="2"/>
  <c r="I83" i="2"/>
  <c r="M84" i="2"/>
  <c r="T14" i="2"/>
  <c r="J87" i="1"/>
  <c r="H87" i="2"/>
  <c r="O55" i="2"/>
  <c r="D79" i="2"/>
  <c r="Q51" i="2"/>
  <c r="E79" i="2"/>
  <c r="F79" i="2"/>
  <c r="P51" i="2"/>
  <c r="G79" i="2"/>
  <c r="D78" i="2"/>
  <c r="Q50" i="2"/>
  <c r="E78" i="2"/>
  <c r="F78" i="2"/>
  <c r="P50" i="2"/>
  <c r="G78" i="2"/>
  <c r="D77" i="2"/>
  <c r="Q49" i="2"/>
  <c r="E77" i="2"/>
  <c r="F77" i="2"/>
  <c r="P49" i="2"/>
  <c r="G77" i="2"/>
  <c r="H77" i="2"/>
  <c r="O49" i="2"/>
  <c r="D76" i="2"/>
  <c r="Q48" i="2"/>
  <c r="E76" i="2"/>
  <c r="F76" i="2"/>
  <c r="P48" i="2"/>
  <c r="G76" i="2"/>
  <c r="I75" i="2"/>
  <c r="M76" i="2"/>
  <c r="T13" i="2"/>
  <c r="J79" i="1"/>
  <c r="H79" i="2"/>
  <c r="O51" i="2"/>
  <c r="H79" i="1"/>
  <c r="H78" i="2"/>
  <c r="O50" i="2"/>
  <c r="D79" i="1"/>
  <c r="D71" i="2"/>
  <c r="Q47" i="2"/>
  <c r="E71" i="2"/>
  <c r="F71" i="2"/>
  <c r="P47" i="2"/>
  <c r="G71" i="2"/>
  <c r="D70" i="2"/>
  <c r="Q46" i="2"/>
  <c r="E70" i="2"/>
  <c r="F70" i="2"/>
  <c r="P46" i="2"/>
  <c r="G70" i="2"/>
  <c r="H71" i="1"/>
  <c r="H70" i="2"/>
  <c r="O46" i="2"/>
  <c r="D69" i="2"/>
  <c r="Q45" i="2"/>
  <c r="E69" i="2"/>
  <c r="F69" i="2"/>
  <c r="P45" i="2"/>
  <c r="G69" i="2"/>
  <c r="H69" i="2"/>
  <c r="O45" i="2"/>
  <c r="D68" i="2"/>
  <c r="Q44" i="2"/>
  <c r="E68" i="2"/>
  <c r="F68" i="2"/>
  <c r="P44" i="2"/>
  <c r="G68" i="2"/>
  <c r="I67" i="2"/>
  <c r="M68" i="2"/>
  <c r="T12" i="2"/>
  <c r="J71" i="1"/>
  <c r="D71" i="1"/>
  <c r="D63" i="2"/>
  <c r="Q43" i="2"/>
  <c r="E63" i="2"/>
  <c r="F63" i="2"/>
  <c r="P43" i="2"/>
  <c r="G63" i="2"/>
  <c r="D62" i="2"/>
  <c r="Q42" i="2"/>
  <c r="E62" i="2"/>
  <c r="F62" i="2"/>
  <c r="P42" i="2"/>
  <c r="G62" i="2"/>
  <c r="H63" i="1"/>
  <c r="H62" i="2"/>
  <c r="O42" i="2"/>
  <c r="D61" i="2"/>
  <c r="E61" i="2"/>
  <c r="F61" i="2"/>
  <c r="G61" i="2"/>
  <c r="H61" i="2"/>
  <c r="D60" i="2"/>
  <c r="E60" i="2"/>
  <c r="F60" i="2"/>
  <c r="G60" i="2"/>
  <c r="D63" i="1"/>
  <c r="H60" i="2"/>
  <c r="I59" i="2"/>
  <c r="M60" i="2"/>
  <c r="T11" i="2"/>
  <c r="J63" i="1"/>
  <c r="H71" i="2"/>
  <c r="O47" i="2"/>
  <c r="K63" i="1"/>
  <c r="L60" i="2"/>
  <c r="U11" i="2"/>
  <c r="D54" i="2"/>
  <c r="E54" i="2"/>
  <c r="F54" i="2"/>
  <c r="G54" i="2"/>
  <c r="D53" i="2"/>
  <c r="E53" i="2"/>
  <c r="F53" i="2"/>
  <c r="G53" i="2"/>
  <c r="D52" i="2"/>
  <c r="E52" i="2"/>
  <c r="F52" i="2"/>
  <c r="G52" i="2"/>
  <c r="H52" i="2"/>
  <c r="D51" i="2"/>
  <c r="E51" i="2"/>
  <c r="F51" i="2"/>
  <c r="G51" i="2"/>
  <c r="I50" i="2"/>
  <c r="M51" i="2"/>
  <c r="T10" i="2"/>
  <c r="J55" i="1"/>
  <c r="H54" i="2"/>
  <c r="H55" i="1"/>
  <c r="H53" i="2"/>
  <c r="D55" i="1"/>
  <c r="D46" i="2"/>
  <c r="E46" i="2"/>
  <c r="F46" i="2"/>
  <c r="G46" i="2"/>
  <c r="D45" i="2"/>
  <c r="E45" i="2"/>
  <c r="F45" i="2"/>
  <c r="G45" i="2"/>
  <c r="E44" i="2"/>
  <c r="F44" i="2"/>
  <c r="P25" i="2"/>
  <c r="G44" i="2"/>
  <c r="H44" i="2"/>
  <c r="O25" i="2"/>
  <c r="D43" i="2"/>
  <c r="Q24" i="2"/>
  <c r="E43" i="2"/>
  <c r="F43" i="2"/>
  <c r="P24" i="2"/>
  <c r="G43" i="2"/>
  <c r="I42" i="2"/>
  <c r="M43" i="2"/>
  <c r="T9" i="2"/>
  <c r="J47" i="1"/>
  <c r="H46" i="2"/>
  <c r="H47" i="1"/>
  <c r="H45" i="2"/>
  <c r="D47" i="1"/>
  <c r="D38" i="2"/>
  <c r="Q23" i="2"/>
  <c r="E38" i="2"/>
  <c r="F38" i="2"/>
  <c r="P23" i="2"/>
  <c r="G38" i="2"/>
  <c r="J39" i="1"/>
  <c r="H38" i="2"/>
  <c r="O23" i="2"/>
  <c r="D37" i="2"/>
  <c r="Q22" i="2"/>
  <c r="E37" i="2"/>
  <c r="F37" i="2"/>
  <c r="P22" i="2"/>
  <c r="G37" i="2"/>
  <c r="D36" i="2"/>
  <c r="Q21" i="2"/>
  <c r="E36" i="2"/>
  <c r="F36" i="2"/>
  <c r="P21" i="2"/>
  <c r="G36" i="2"/>
  <c r="H36" i="2"/>
  <c r="O21" i="2"/>
  <c r="D35" i="2"/>
  <c r="Q20" i="2"/>
  <c r="E35" i="2"/>
  <c r="F35" i="2"/>
  <c r="P20" i="2"/>
  <c r="G35" i="2"/>
  <c r="I34" i="2"/>
  <c r="M35" i="2"/>
  <c r="T8" i="2"/>
  <c r="H39" i="1"/>
  <c r="H37" i="2"/>
  <c r="O22" i="2"/>
  <c r="D39" i="1"/>
  <c r="D30" i="2"/>
  <c r="Q19" i="2"/>
  <c r="E30" i="2"/>
  <c r="F30" i="2"/>
  <c r="P19" i="2"/>
  <c r="G30" i="2"/>
  <c r="D29" i="2"/>
  <c r="Q18" i="2"/>
  <c r="E29" i="2"/>
  <c r="F29" i="2"/>
  <c r="P18" i="2"/>
  <c r="G29" i="2"/>
  <c r="D28" i="2"/>
  <c r="Q17" i="2"/>
  <c r="E28" i="2"/>
  <c r="F28" i="2"/>
  <c r="P17" i="2"/>
  <c r="G28" i="2"/>
  <c r="H28" i="2"/>
  <c r="O17" i="2"/>
  <c r="D27" i="2"/>
  <c r="Q16" i="2"/>
  <c r="E27" i="2"/>
  <c r="F27" i="2"/>
  <c r="P16" i="2"/>
  <c r="G27" i="2"/>
  <c r="I26" i="2"/>
  <c r="I18" i="2"/>
  <c r="I10" i="2"/>
  <c r="M27" i="2"/>
  <c r="T7" i="2"/>
  <c r="J31" i="1"/>
  <c r="H30" i="2"/>
  <c r="O19" i="2"/>
  <c r="H31" i="1"/>
  <c r="H29" i="2"/>
  <c r="O18" i="2"/>
  <c r="D31" i="1"/>
  <c r="D22" i="2"/>
  <c r="Q15" i="2"/>
  <c r="E22" i="2"/>
  <c r="F22" i="2"/>
  <c r="P15" i="2"/>
  <c r="G22" i="2"/>
  <c r="D21" i="2"/>
  <c r="Q14" i="2"/>
  <c r="E21" i="2"/>
  <c r="F21" i="2"/>
  <c r="P14" i="2"/>
  <c r="G21" i="2"/>
  <c r="H21" i="1"/>
  <c r="H21" i="2"/>
  <c r="O14" i="2"/>
  <c r="D20" i="2"/>
  <c r="E20" i="2"/>
  <c r="F20" i="2"/>
  <c r="P13" i="2"/>
  <c r="G20" i="2"/>
  <c r="H20" i="2"/>
  <c r="O13" i="2"/>
  <c r="D19" i="2"/>
  <c r="E19" i="2"/>
  <c r="F19" i="2"/>
  <c r="P12" i="2"/>
  <c r="G19" i="2"/>
  <c r="M19" i="2"/>
  <c r="T6" i="2"/>
  <c r="J21" i="1"/>
  <c r="H22" i="2"/>
  <c r="O15" i="2"/>
  <c r="D21" i="1"/>
  <c r="D14" i="2"/>
  <c r="Q11" i="2"/>
  <c r="E14" i="2"/>
  <c r="F14" i="2"/>
  <c r="P11" i="2"/>
  <c r="G14" i="2"/>
  <c r="D13" i="2"/>
  <c r="Q10" i="2"/>
  <c r="E13" i="2"/>
  <c r="F13" i="2"/>
  <c r="P10" i="2"/>
  <c r="G13" i="2"/>
  <c r="D12" i="2"/>
  <c r="Q9" i="2"/>
  <c r="E12" i="2"/>
  <c r="F12" i="2"/>
  <c r="P9" i="2"/>
  <c r="G12" i="2"/>
  <c r="H12" i="2"/>
  <c r="O9" i="2"/>
  <c r="D11" i="2"/>
  <c r="Q8" i="2"/>
  <c r="E11" i="2"/>
  <c r="F11" i="2"/>
  <c r="P8" i="2"/>
  <c r="G11" i="2"/>
  <c r="M11" i="2"/>
  <c r="T5" i="2"/>
  <c r="J12" i="1"/>
  <c r="H14" i="2"/>
  <c r="O11" i="2"/>
  <c r="H12" i="1"/>
  <c r="H13" i="2"/>
  <c r="O10" i="2"/>
  <c r="D12" i="1"/>
  <c r="D6" i="2"/>
  <c r="Q7" i="2"/>
  <c r="E6" i="2"/>
  <c r="F6" i="2"/>
  <c r="P7" i="2"/>
  <c r="G6" i="2"/>
  <c r="D4" i="2"/>
  <c r="Q5" i="2"/>
  <c r="D5" i="2"/>
  <c r="Q6" i="2"/>
  <c r="E5" i="2"/>
  <c r="F5" i="2"/>
  <c r="P6" i="2"/>
  <c r="G5" i="2"/>
  <c r="E4" i="2"/>
  <c r="F4" i="2"/>
  <c r="P5" i="2"/>
  <c r="G4" i="2"/>
  <c r="H4" i="2"/>
  <c r="O5" i="2"/>
  <c r="D3" i="2"/>
  <c r="Q4" i="2"/>
  <c r="E3" i="2"/>
  <c r="F3" i="2"/>
  <c r="P4" i="2"/>
  <c r="G3" i="2"/>
  <c r="I2" i="2"/>
  <c r="M3" i="2"/>
  <c r="T4" i="2"/>
  <c r="J2" i="1"/>
  <c r="H6" i="2"/>
  <c r="O7" i="2"/>
  <c r="H2" i="1"/>
  <c r="H5" i="2"/>
  <c r="O6" i="2"/>
  <c r="D2" i="1"/>
  <c r="O52" i="2"/>
  <c r="K79" i="1"/>
  <c r="L76" i="2"/>
  <c r="U13" i="2"/>
  <c r="O54" i="2"/>
  <c r="H68" i="2"/>
  <c r="O44" i="2"/>
  <c r="K71" i="1"/>
  <c r="L68" i="2"/>
  <c r="U12" i="2"/>
  <c r="H51" i="2"/>
  <c r="O28" i="2"/>
  <c r="K55" i="1"/>
  <c r="L51" i="2"/>
  <c r="U10" i="2"/>
  <c r="H43" i="2"/>
  <c r="O24" i="2"/>
  <c r="K47" i="1"/>
  <c r="L43" i="2"/>
  <c r="U9" i="2"/>
  <c r="H35" i="2"/>
  <c r="O20" i="2"/>
  <c r="K39" i="1"/>
  <c r="L35" i="2"/>
  <c r="U8" i="2"/>
  <c r="H27" i="2"/>
  <c r="O16" i="2"/>
  <c r="K31" i="1"/>
  <c r="L27" i="2"/>
  <c r="U7" i="2"/>
  <c r="H19" i="2"/>
  <c r="O12" i="2"/>
  <c r="K21" i="1"/>
  <c r="L19" i="2"/>
  <c r="U6" i="2"/>
  <c r="H11" i="2"/>
  <c r="O8" i="2"/>
  <c r="K12" i="1"/>
  <c r="L11" i="2"/>
  <c r="U5" i="2"/>
  <c r="H3" i="2"/>
  <c r="O4" i="2"/>
  <c r="K2" i="1"/>
  <c r="L3" i="2"/>
  <c r="U4" i="2"/>
  <c r="H76" i="2"/>
  <c r="O48" i="2"/>
  <c r="H63" i="2"/>
  <c r="O43" i="2"/>
  <c r="Q31" i="2"/>
  <c r="Q39" i="2"/>
  <c r="Q33" i="2"/>
  <c r="Q41" i="2"/>
  <c r="Q12" i="2"/>
  <c r="Q13" i="2"/>
  <c r="Q28" i="2"/>
  <c r="Q36" i="2"/>
  <c r="Q29" i="2"/>
  <c r="Q37" i="2"/>
  <c r="Q26" i="2"/>
  <c r="Q34" i="2"/>
  <c r="Q27" i="2"/>
  <c r="Q35" i="2"/>
  <c r="Q30" i="2"/>
  <c r="Q38" i="2"/>
  <c r="Q32" i="2"/>
  <c r="Q40" i="2"/>
  <c r="O41" i="2"/>
  <c r="O33" i="2"/>
  <c r="P27" i="2"/>
  <c r="P35" i="2"/>
  <c r="P38" i="2"/>
  <c r="P30" i="2"/>
  <c r="P40" i="2"/>
  <c r="P32" i="2"/>
  <c r="P37" i="2"/>
  <c r="P29" i="2"/>
  <c r="O31" i="2"/>
  <c r="O39" i="2"/>
  <c r="O26" i="2"/>
  <c r="O34" i="2"/>
  <c r="O29" i="2"/>
  <c r="O37" i="2"/>
  <c r="P39" i="2"/>
  <c r="P31" i="2"/>
  <c r="P41" i="2"/>
  <c r="P33" i="2"/>
  <c r="P34" i="2"/>
  <c r="P26" i="2"/>
  <c r="O35" i="2"/>
  <c r="O27" i="2"/>
  <c r="P36" i="2"/>
  <c r="P28" i="2"/>
  <c r="O30" i="2"/>
  <c r="O38" i="2"/>
  <c r="O40" i="2"/>
  <c r="O32" i="2"/>
  <c r="O3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tc={F7F64D36-A4AC-DB4D-A9CE-B9BFC10D4CE5}</author>
  </authors>
  <commentList>
    <comment ref="B2" authorId="0" shapeId="0" xr:uid="{F7F64D36-A4AC-DB4D-A9CE-B9BFC10D4CE5}">
      <text>
        <t>[Threaded comment]
Your version of Excel allows you to read this threaded comment; however, any edits to it will get removed if the file is opened in a newer version of Excel. Learn more: https://go.microsoft.com/fwlink/?linkid=870924
Comment:
    ۱۰۰</t>
      </text>
    </comment>
  </commentList>
</comments>
</file>

<file path=xl/sharedStrings.xml><?xml version="1.0" encoding="utf-8"?>
<sst xmlns="http://schemas.openxmlformats.org/spreadsheetml/2006/main" count="1447" uniqueCount="39">
  <si>
    <t>کابینت زمینی</t>
  </si>
  <si>
    <t>کف</t>
  </si>
  <si>
    <t>بدنه</t>
  </si>
  <si>
    <t>طبقه</t>
  </si>
  <si>
    <t>قید</t>
  </si>
  <si>
    <t>تعداد</t>
  </si>
  <si>
    <t>ردیف:</t>
  </si>
  <si>
    <t>1-</t>
  </si>
  <si>
    <t>نام یونیت:</t>
  </si>
  <si>
    <t>طول</t>
  </si>
  <si>
    <t>نوار</t>
  </si>
  <si>
    <t>عرض</t>
  </si>
  <si>
    <t>توضیحات</t>
  </si>
  <si>
    <t>نوار:</t>
  </si>
  <si>
    <t>قید:</t>
  </si>
  <si>
    <t>طبقه:</t>
  </si>
  <si>
    <t>تعداد:</t>
  </si>
  <si>
    <t>کف:</t>
  </si>
  <si>
    <t>بدونه:</t>
  </si>
  <si>
    <t>3میل</t>
  </si>
  <si>
    <t>طول 3میل</t>
  </si>
  <si>
    <t>عرض 3میل</t>
  </si>
  <si>
    <t>عرض درب:</t>
  </si>
  <si>
    <t>ارتفاع درب:</t>
  </si>
  <si>
    <t>موارد</t>
  </si>
  <si>
    <t>safid366</t>
  </si>
  <si>
    <t>3mil</t>
  </si>
  <si>
    <t>کابینت هوایی</t>
  </si>
  <si>
    <t>تاق</t>
  </si>
  <si>
    <t>ردیف</t>
  </si>
  <si>
    <t>طول3 میل</t>
  </si>
  <si>
    <t>عرض3 میل</t>
  </si>
  <si>
    <t>عرض درب</t>
  </si>
  <si>
    <t>طول درب</t>
  </si>
  <si>
    <t>ارتفاع</t>
  </si>
  <si>
    <t>عمق</t>
  </si>
  <si>
    <t>بدنه کشو</t>
  </si>
  <si>
    <t>جلو کشو</t>
  </si>
  <si>
    <t>پشت کشو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</si>
</sst>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6500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charset val="178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8" tint="0.39997558519241921"/>
        <bgColor indexed="65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7F7F7F"/>
      </right>
      <top style="thin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rgb="FF7F7F7F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3">
    <xf numFmtId="0" fontId="0" fillId="0" borderId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1" applyNumberFormat="0" applyAlignment="0" applyProtection="0"/>
    <xf numFmtId="0" fontId="10" fillId="6" borderId="2" applyNumberFormat="0" applyAlignment="0" applyProtection="0"/>
    <xf numFmtId="0" fontId="5" fillId="7" borderId="3" applyNumberFormat="0" applyFont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2" fillId="14" borderId="0" applyNumberFormat="0" applyBorder="0" applyAlignment="0" applyProtection="0"/>
  </cellStyleXfs>
  <cellXfs count="45">
    <xf numFmtId="0" fontId="0" fillId="0" borderId="0" xfId="0"/>
    <xf numFmtId="0" fontId="0" fillId="0" borderId="5" xfId="0" applyBorder="1"/>
    <xf numFmtId="0" fontId="0" fillId="0" borderId="5" xfId="0" applyBorder="1" applyAlignment="1">
      <alignment horizontal="right"/>
    </xf>
    <xf numFmtId="0" fontId="8" fillId="4" borderId="5" xfId="3" applyBorder="1"/>
    <xf numFmtId="0" fontId="6" fillId="2" borderId="5" xfId="1" applyBorder="1"/>
    <xf numFmtId="0" fontId="10" fillId="6" borderId="2" xfId="5"/>
    <xf numFmtId="0" fontId="9" fillId="5" borderId="5" xfId="4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8" fillId="4" borderId="5" xfId="3" applyBorder="1" applyAlignment="1">
      <alignment horizontal="center"/>
    </xf>
    <xf numFmtId="0" fontId="4" fillId="8" borderId="5" xfId="7" applyBorder="1" applyAlignment="1">
      <alignment horizontal="center"/>
    </xf>
    <xf numFmtId="0" fontId="4" fillId="10" borderId="5" xfId="9" applyBorder="1" applyAlignment="1">
      <alignment horizontal="center"/>
    </xf>
    <xf numFmtId="0" fontId="4" fillId="9" borderId="5" xfId="8" applyBorder="1" applyAlignment="1">
      <alignment horizontal="center"/>
    </xf>
    <xf numFmtId="0" fontId="6" fillId="2" borderId="5" xfId="1" applyBorder="1" applyAlignment="1">
      <alignment horizontal="center"/>
    </xf>
    <xf numFmtId="0" fontId="0" fillId="0" borderId="5" xfId="0" applyBorder="1" applyAlignment="1">
      <alignment horizontal="center"/>
    </xf>
    <xf numFmtId="0" fontId="8" fillId="7" borderId="3" xfId="6" applyFont="1" applyAlignment="1">
      <alignment horizontal="center"/>
    </xf>
    <xf numFmtId="0" fontId="7" fillId="3" borderId="5" xfId="2" applyBorder="1"/>
    <xf numFmtId="0" fontId="10" fillId="6" borderId="2" xfId="5" applyAlignment="1">
      <alignment horizontal="right"/>
    </xf>
    <xf numFmtId="0" fontId="3" fillId="9" borderId="5" xfId="8" applyFont="1" applyBorder="1" applyAlignment="1">
      <alignment horizontal="center"/>
    </xf>
    <xf numFmtId="0" fontId="9" fillId="5" borderId="6" xfId="4" applyBorder="1"/>
    <xf numFmtId="0" fontId="9" fillId="5" borderId="7" xfId="4" applyBorder="1"/>
    <xf numFmtId="0" fontId="9" fillId="5" borderId="8" xfId="4" applyBorder="1"/>
    <xf numFmtId="0" fontId="0" fillId="0" borderId="0" xfId="0" applyAlignment="1">
      <alignment horizontal="center"/>
    </xf>
    <xf numFmtId="0" fontId="10" fillId="6" borderId="2" xfId="5" applyAlignment="1">
      <alignment horizontal="center"/>
    </xf>
    <xf numFmtId="0" fontId="11" fillId="11" borderId="9" xfId="0" applyFont="1" applyFill="1" applyBorder="1" applyAlignment="1">
      <alignment horizontal="center"/>
    </xf>
    <xf numFmtId="0" fontId="2" fillId="12" borderId="5" xfId="10" applyBorder="1" applyAlignment="1">
      <alignment horizontal="center"/>
    </xf>
    <xf numFmtId="0" fontId="2" fillId="13" borderId="5" xfId="11" applyBorder="1" applyAlignment="1">
      <alignment horizontal="center"/>
    </xf>
    <xf numFmtId="0" fontId="8" fillId="4" borderId="11" xfId="3" applyBorder="1" applyAlignment="1">
      <alignment horizontal="center"/>
    </xf>
    <xf numFmtId="0" fontId="8" fillId="4" borderId="10" xfId="3" applyBorder="1" applyAlignment="1">
      <alignment horizontal="center"/>
    </xf>
    <xf numFmtId="0" fontId="2" fillId="12" borderId="11" xfId="10" applyBorder="1" applyAlignment="1">
      <alignment horizontal="center"/>
    </xf>
    <xf numFmtId="0" fontId="2" fillId="12" borderId="10" xfId="10" applyBorder="1" applyAlignment="1">
      <alignment horizontal="center"/>
    </xf>
    <xf numFmtId="0" fontId="6" fillId="2" borderId="11" xfId="1" applyBorder="1" applyAlignment="1">
      <alignment horizontal="center"/>
    </xf>
    <xf numFmtId="0" fontId="6" fillId="2" borderId="10" xfId="1" applyBorder="1" applyAlignment="1">
      <alignment horizontal="center"/>
    </xf>
    <xf numFmtId="0" fontId="4" fillId="8" borderId="11" xfId="7" applyBorder="1" applyAlignment="1">
      <alignment horizontal="center"/>
    </xf>
    <xf numFmtId="0" fontId="4" fillId="8" borderId="10" xfId="7" applyBorder="1" applyAlignment="1">
      <alignment horizontal="center"/>
    </xf>
    <xf numFmtId="0" fontId="2" fillId="12" borderId="12" xfId="10" applyBorder="1" applyAlignment="1">
      <alignment horizontal="center"/>
    </xf>
    <xf numFmtId="0" fontId="0" fillId="0" borderId="0" xfId="0" applyBorder="1"/>
    <xf numFmtId="0" fontId="7" fillId="3" borderId="12" xfId="2" applyBorder="1"/>
    <xf numFmtId="0" fontId="8" fillId="4" borderId="13" xfId="3" applyBorder="1"/>
    <xf numFmtId="0" fontId="4" fillId="9" borderId="10" xfId="8" applyBorder="1"/>
    <xf numFmtId="0" fontId="4" fillId="9" borderId="11" xfId="8" applyBorder="1"/>
    <xf numFmtId="0" fontId="4" fillId="9" borderId="5" xfId="8" applyBorder="1"/>
    <xf numFmtId="0" fontId="1" fillId="14" borderId="5" xfId="12" applyFont="1" applyBorder="1"/>
    <xf numFmtId="0" fontId="8" fillId="4" borderId="10" xfId="3" applyBorder="1"/>
    <xf numFmtId="0" fontId="8" fillId="4" borderId="11" xfId="3" applyBorder="1"/>
    <xf numFmtId="164" fontId="0" fillId="11" borderId="4" xfId="0" applyNumberFormat="1" applyFill="1" applyBorder="1" applyAlignment="1">
      <alignment horizontal="center"/>
    </xf>
  </cellXfs>
  <cellStyles count="13">
    <cellStyle name="20% - Accent1" xfId="7" builtinId="30"/>
    <cellStyle name="20% - Accent2" xfId="10" builtinId="34"/>
    <cellStyle name="20% - Accent6" xfId="11" builtinId="50"/>
    <cellStyle name="40% - Accent4" xfId="8" builtinId="43"/>
    <cellStyle name="40% - Accent6" xfId="9" builtinId="51"/>
    <cellStyle name="60% - Accent5" xfId="12" builtinId="48"/>
    <cellStyle name="Bad" xfId="2" builtinId="27"/>
    <cellStyle name="Calculation" xfId="4" builtinId="22"/>
    <cellStyle name="Check Cell" xfId="5" builtinId="23"/>
    <cellStyle name="Good" xfId="1" builtinId="26"/>
    <cellStyle name="Neutral" xfId="3" builtinId="28"/>
    <cellStyle name="Normal" xfId="0" builtinId="0"/>
    <cellStyle name="Note" xfId="6" builtinId="1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10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microsoft.com/office/2017/10/relationships/person" Target="persons/person.xml" 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38100</xdr:colOff>
          <xdr:row>0</xdr:row>
          <xdr:rowOff>28575</xdr:rowOff>
        </xdr:from>
        <xdr:to>
          <xdr:col>17</xdr:col>
          <xdr:colOff>19050</xdr:colOff>
          <xdr:row>2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0000" mc:Ignorable="a14" a14:legacySpreadsheetColorIndex="67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1">
                <a:defRPr sz="1000"/>
              </a:pPr>
              <a:r>
                <a:rPr lang="en-US" sz="1800" b="0" i="0" u="none" strike="noStrike" baseline="0">
                  <a:solidFill>
                    <a:srgbClr val="000000"/>
                  </a:solidFill>
                  <a:latin typeface="Calibri"/>
                </a:rPr>
                <a:t>بدنه ها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19050</xdr:colOff>
          <xdr:row>0</xdr:row>
          <xdr:rowOff>19050</xdr:rowOff>
        </xdr:from>
        <xdr:to>
          <xdr:col>21</xdr:col>
          <xdr:colOff>561975</xdr:colOff>
          <xdr:row>1</xdr:row>
          <xdr:rowOff>180975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0000" mc:Ignorable="a14" a14:legacySpreadsheetColorIndex="67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1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</a:rPr>
                <a:t>فیبر 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19050</xdr:colOff>
          <xdr:row>17</xdr:row>
          <xdr:rowOff>9525</xdr:rowOff>
        </xdr:from>
        <xdr:to>
          <xdr:col>22</xdr:col>
          <xdr:colOff>0</xdr:colOff>
          <xdr:row>20</xdr:row>
          <xdr:rowOff>9525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1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0000" mc:Ignorable="a14" a14:legacySpreadsheetColorIndex="67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1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</a:rPr>
                <a:t>دربها</a:t>
              </a:r>
            </a:p>
            <a:p>
              <a:pPr algn="ctr" rtl="1">
                <a:defRPr sz="1000"/>
              </a:pPr>
              <a:endParaRPr lang="en-US" sz="1100" b="0" i="0" u="none" strike="noStrike" baseline="0">
                <a:solidFill>
                  <a:srgbClr val="000000"/>
                </a:solidFill>
                <a:latin typeface="Calibri"/>
              </a:endParaRP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0</xdr:colOff>
          <xdr:row>0</xdr:row>
          <xdr:rowOff>47625</xdr:rowOff>
        </xdr:from>
        <xdr:to>
          <xdr:col>14</xdr:col>
          <xdr:colOff>9525</xdr:colOff>
          <xdr:row>2</xdr:row>
          <xdr:rowOff>19050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3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0000" mc:Ignorable="a14" a14:legacySpreadsheetColorIndex="67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1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</a:rPr>
                <a:t>بدنه ها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28575</xdr:colOff>
          <xdr:row>0</xdr:row>
          <xdr:rowOff>47625</xdr:rowOff>
        </xdr:from>
        <xdr:to>
          <xdr:col>18</xdr:col>
          <xdr:colOff>533400</xdr:colOff>
          <xdr:row>1</xdr:row>
          <xdr:rowOff>171450</xdr:rowOff>
        </xdr:to>
        <xdr:sp macro="" textlink="">
          <xdr:nvSpPr>
            <xdr:cNvPr id="3074" name="Button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3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0000" mc:Ignorable="a14" a14:legacySpreadsheetColorIndex="67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1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</a:rPr>
                <a:t>فیبر 3 میل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0</xdr:colOff>
          <xdr:row>25</xdr:row>
          <xdr:rowOff>9525</xdr:rowOff>
        </xdr:from>
        <xdr:to>
          <xdr:col>18</xdr:col>
          <xdr:colOff>581025</xdr:colOff>
          <xdr:row>26</xdr:row>
          <xdr:rowOff>180975</xdr:rowOff>
        </xdr:to>
        <xdr:sp macro="" textlink="">
          <xdr:nvSpPr>
            <xdr:cNvPr id="3075" name="Button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3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0000" mc:Ignorable="a14" a14:legacySpreadsheetColorIndex="67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1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</a:rPr>
                <a:t>دربها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28575</xdr:colOff>
          <xdr:row>0</xdr:row>
          <xdr:rowOff>9525</xdr:rowOff>
        </xdr:from>
        <xdr:to>
          <xdr:col>3</xdr:col>
          <xdr:colOff>581025</xdr:colOff>
          <xdr:row>1</xdr:row>
          <xdr:rowOff>171450</xdr:rowOff>
        </xdr:to>
        <xdr:sp macro="" textlink="">
          <xdr:nvSpPr>
            <xdr:cNvPr id="5121" name="Butto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4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0000" mc:Ignorable="a14" a14:legacySpreadsheetColorIndex="67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1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</a:rPr>
                <a:t>باکس کشو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0</xdr:colOff>
          <xdr:row>0</xdr:row>
          <xdr:rowOff>9525</xdr:rowOff>
        </xdr:from>
        <xdr:to>
          <xdr:col>9</xdr:col>
          <xdr:colOff>600075</xdr:colOff>
          <xdr:row>1</xdr:row>
          <xdr:rowOff>171450</xdr:rowOff>
        </xdr:to>
        <xdr:sp macro="" textlink="">
          <xdr:nvSpPr>
            <xdr:cNvPr id="5122" name="Button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4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0000" mc:Ignorable="a14" a14:legacySpreadsheetColorIndex="67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1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</a:rPr>
                <a:t>جعبه کشو</a:t>
              </a:r>
            </a:p>
          </xdr:txBody>
        </xdr:sp>
        <xdr:clientData fPrintsWithSheet="0"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akwood20@gmail.com" id="{8B254D7B-F7A8-FA41-AD44-66016796CE8A}" userId="08117ab8038ea40d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5-06-18T06:08:55.09" personId="{8B254D7B-F7A8-FA41-AD44-66016796CE8A}" id="{F7F64D36-A4AC-DB4D-A9CE-B9BFC10D4CE5}">
    <text>۱۰۰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 /><Relationship Id="rId2" Type="http://schemas.openxmlformats.org/officeDocument/2006/relationships/comments" Target="../comments1.xml" /><Relationship Id="rId1" Type="http://schemas.openxmlformats.org/officeDocument/2006/relationships/vmlDrawing" Target="../drawings/vmlDrawing1.vml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 /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Relationship Id="rId6" Type="http://schemas.openxmlformats.org/officeDocument/2006/relationships/ctrlProp" Target="../ctrlProps/ctrlProp3.xml" /><Relationship Id="rId5" Type="http://schemas.openxmlformats.org/officeDocument/2006/relationships/ctrlProp" Target="../ctrlProps/ctrlProp2.xml" /><Relationship Id="rId4" Type="http://schemas.openxmlformats.org/officeDocument/2006/relationships/ctrlProp" Target="../ctrlProps/ctrlProp1.xml" 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.xml" /><Relationship Id="rId2" Type="http://schemas.openxmlformats.org/officeDocument/2006/relationships/vmlDrawing" Target="../drawings/vmlDrawing3.vml" /><Relationship Id="rId1" Type="http://schemas.openxmlformats.org/officeDocument/2006/relationships/drawing" Target="../drawings/drawing2.xml" /><Relationship Id="rId5" Type="http://schemas.openxmlformats.org/officeDocument/2006/relationships/ctrlProp" Target="../ctrlProps/ctrlProp6.xml" /><Relationship Id="rId4" Type="http://schemas.openxmlformats.org/officeDocument/2006/relationships/ctrlProp" Target="../ctrlProps/ctrlProp5.xml" 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.xml" /><Relationship Id="rId2" Type="http://schemas.openxmlformats.org/officeDocument/2006/relationships/vmlDrawing" Target="../drawings/vmlDrawing4.vml" /><Relationship Id="rId1" Type="http://schemas.openxmlformats.org/officeDocument/2006/relationships/drawing" Target="../drawings/drawing3.xml" /><Relationship Id="rId4" Type="http://schemas.openxmlformats.org/officeDocument/2006/relationships/ctrlProp" Target="../ctrlProps/ctrlProp8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91"/>
  <sheetViews>
    <sheetView rightToLeft="1" zoomScale="115" zoomScaleNormal="115" workbookViewId="0">
      <selection activeCell="B12" sqref="B12"/>
    </sheetView>
  </sheetViews>
  <sheetFormatPr defaultRowHeight="15" x14ac:dyDescent="0.2"/>
  <cols>
    <col min="1" max="1" width="8.203125" customWidth="1"/>
    <col min="2" max="2" width="11.8359375" customWidth="1"/>
    <col min="13" max="13" width="10.625" customWidth="1"/>
    <col min="14" max="14" width="10.76171875" customWidth="1"/>
  </cols>
  <sheetData>
    <row r="1" spans="1:14" ht="16.5" thickTop="1" thickBot="1" x14ac:dyDescent="0.25">
      <c r="A1" s="2" t="s">
        <v>6</v>
      </c>
      <c r="B1" s="7" t="s">
        <v>0</v>
      </c>
      <c r="C1" s="8" t="s">
        <v>1</v>
      </c>
      <c r="D1" s="8"/>
      <c r="E1" s="6" t="s">
        <v>2</v>
      </c>
      <c r="F1" s="6"/>
      <c r="G1" s="9" t="s">
        <v>3</v>
      </c>
      <c r="H1" s="9"/>
      <c r="I1" s="14" t="s">
        <v>4</v>
      </c>
      <c r="J1" s="14"/>
      <c r="K1" s="10" t="s">
        <v>21</v>
      </c>
      <c r="L1" s="10" t="s">
        <v>20</v>
      </c>
      <c r="M1" s="17" t="s">
        <v>22</v>
      </c>
      <c r="N1" s="17" t="s">
        <v>23</v>
      </c>
    </row>
    <row r="2" spans="1:14" ht="16.5" thickTop="1" thickBot="1" x14ac:dyDescent="0.25">
      <c r="A2" s="16" t="s">
        <v>7</v>
      </c>
      <c r="B2" s="44">
        <v>80</v>
      </c>
      <c r="C2" s="8">
        <v>58</v>
      </c>
      <c r="D2" s="8">
        <f>B2</f>
        <v>80</v>
      </c>
      <c r="E2" s="6">
        <v>58</v>
      </c>
      <c r="F2" s="6">
        <v>73.400000000000006</v>
      </c>
      <c r="G2" s="9">
        <v>55</v>
      </c>
      <c r="H2" s="9">
        <f>B2-3.2</f>
        <v>76.8</v>
      </c>
      <c r="I2" s="14">
        <v>7</v>
      </c>
      <c r="J2" s="14">
        <f>B2-3.2</f>
        <v>76.8</v>
      </c>
      <c r="K2" s="10">
        <f>D2-1.6</f>
        <v>78.400000000000006</v>
      </c>
      <c r="L2" s="10">
        <f>F2+1.6-0.8</f>
        <v>74.2</v>
      </c>
      <c r="M2" s="17">
        <f>IF(AND(B2&gt;=10,B2&lt;=50), B2-0.2, IF(AND(B2&gt;50,B2&lt;=100),B2/2-0.2, IF(AND(B2&gt;100,B2&lt;=150),B2/3-0.2, "")))</f>
        <v>39.799999999999997</v>
      </c>
      <c r="N2" s="11">
        <v>73.400000000000006</v>
      </c>
    </row>
    <row r="3" spans="1:14" ht="15.75" thickTop="1" x14ac:dyDescent="0.2">
      <c r="C3" s="8" t="s">
        <v>13</v>
      </c>
      <c r="D3" s="8" t="s">
        <v>13</v>
      </c>
      <c r="E3" s="6" t="s">
        <v>13</v>
      </c>
      <c r="F3" s="6" t="s">
        <v>13</v>
      </c>
      <c r="G3" s="9" t="s">
        <v>13</v>
      </c>
      <c r="H3" s="9" t="s">
        <v>13</v>
      </c>
      <c r="I3" s="14" t="s">
        <v>13</v>
      </c>
      <c r="J3" s="14" t="s">
        <v>13</v>
      </c>
      <c r="K3" s="10"/>
      <c r="L3" s="10"/>
      <c r="M3" s="11" t="s">
        <v>13</v>
      </c>
      <c r="N3" s="11" t="s">
        <v>13</v>
      </c>
    </row>
    <row r="4" spans="1:14" x14ac:dyDescent="0.2">
      <c r="C4" s="8">
        <v>0</v>
      </c>
      <c r="D4" s="8">
        <v>1</v>
      </c>
      <c r="E4" s="6">
        <v>0</v>
      </c>
      <c r="F4" s="6">
        <v>1</v>
      </c>
      <c r="G4" s="9">
        <v>0</v>
      </c>
      <c r="H4" s="9">
        <v>1</v>
      </c>
      <c r="I4" s="14">
        <v>0</v>
      </c>
      <c r="J4" s="14">
        <v>0</v>
      </c>
      <c r="K4" s="10"/>
      <c r="L4" s="10"/>
      <c r="M4" s="11"/>
      <c r="N4" s="11"/>
    </row>
    <row r="5" spans="1:14" x14ac:dyDescent="0.2">
      <c r="C5" s="12" t="s">
        <v>16</v>
      </c>
      <c r="D5" s="12">
        <v>1</v>
      </c>
      <c r="E5" s="12" t="s">
        <v>16</v>
      </c>
      <c r="F5" s="12">
        <v>2</v>
      </c>
      <c r="G5" s="12" t="s">
        <v>16</v>
      </c>
      <c r="H5" s="12">
        <v>1</v>
      </c>
      <c r="I5" s="12" t="s">
        <v>16</v>
      </c>
      <c r="J5" s="12">
        <v>1</v>
      </c>
      <c r="K5" s="12" t="s">
        <v>16</v>
      </c>
      <c r="L5" s="12">
        <v>1</v>
      </c>
      <c r="M5" s="12" t="s">
        <v>16</v>
      </c>
      <c r="N5" s="12">
        <f>IF(AND(B2&gt;=10,B2&lt;=50),1,IF(AND(B2&gt;50,B2&lt;=100),2,IF(AND(B2&gt;100,B2&lt;=150),3,"")))</f>
        <v>2</v>
      </c>
    </row>
    <row r="6" spans="1:14" x14ac:dyDescent="0.2"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</row>
    <row r="10" spans="1:14" ht="15.75" thickBot="1" x14ac:dyDescent="0.25"/>
    <row r="11" spans="1:14" ht="16.5" thickTop="1" thickBot="1" x14ac:dyDescent="0.25">
      <c r="A11" s="16">
        <v>2</v>
      </c>
      <c r="B11" s="7" t="s">
        <v>0</v>
      </c>
      <c r="C11" s="8" t="s">
        <v>1</v>
      </c>
      <c r="D11" s="8"/>
      <c r="E11" s="6" t="s">
        <v>2</v>
      </c>
      <c r="F11" s="6"/>
      <c r="G11" s="9" t="s">
        <v>3</v>
      </c>
      <c r="H11" s="9"/>
      <c r="I11" s="14" t="s">
        <v>4</v>
      </c>
      <c r="J11" s="14"/>
      <c r="K11" s="10" t="s">
        <v>21</v>
      </c>
      <c r="L11" s="10" t="s">
        <v>20</v>
      </c>
      <c r="M11" s="17" t="s">
        <v>22</v>
      </c>
      <c r="N11" s="17" t="s">
        <v>23</v>
      </c>
    </row>
    <row r="12" spans="1:14" ht="16.5" thickTop="1" thickBot="1" x14ac:dyDescent="0.25">
      <c r="B12" s="7">
        <v>100</v>
      </c>
      <c r="C12" s="8">
        <v>58</v>
      </c>
      <c r="D12" s="8">
        <f>B12</f>
        <v>100</v>
      </c>
      <c r="E12" s="6">
        <v>58</v>
      </c>
      <c r="F12" s="6">
        <v>73.400000000000006</v>
      </c>
      <c r="G12" s="9">
        <v>55</v>
      </c>
      <c r="H12" s="9">
        <f>B12-3.2</f>
        <v>96.8</v>
      </c>
      <c r="I12" s="14">
        <v>7</v>
      </c>
      <c r="J12" s="14">
        <f>B12-3.2</f>
        <v>96.8</v>
      </c>
      <c r="K12" s="10">
        <f>D12-1.6</f>
        <v>98.4</v>
      </c>
      <c r="L12" s="10">
        <f>F12+1.6-0.8</f>
        <v>74.2</v>
      </c>
      <c r="M12" s="17">
        <f>IF(AND(B12&gt;=10,B12&lt;=50), B12-0.2, IF(AND(B12&gt;50,B12&lt;=100),B12/2-0.2, IF(AND(B12&gt;100,B12&lt;=150),B12/3-0.2, "")))</f>
        <v>49.8</v>
      </c>
      <c r="N12" s="11">
        <v>73.400000000000006</v>
      </c>
    </row>
    <row r="13" spans="1:14" ht="15.75" thickTop="1" x14ac:dyDescent="0.2">
      <c r="C13" s="8" t="s">
        <v>13</v>
      </c>
      <c r="D13" s="8" t="s">
        <v>13</v>
      </c>
      <c r="E13" s="6" t="s">
        <v>13</v>
      </c>
      <c r="F13" s="6" t="s">
        <v>13</v>
      </c>
      <c r="G13" s="9" t="s">
        <v>13</v>
      </c>
      <c r="H13" s="9" t="s">
        <v>13</v>
      </c>
      <c r="I13" s="14" t="s">
        <v>13</v>
      </c>
      <c r="J13" s="14" t="s">
        <v>13</v>
      </c>
      <c r="K13" s="10"/>
      <c r="L13" s="10"/>
      <c r="M13" s="11" t="s">
        <v>13</v>
      </c>
      <c r="N13" s="11" t="s">
        <v>13</v>
      </c>
    </row>
    <row r="14" spans="1:14" x14ac:dyDescent="0.2">
      <c r="C14" s="8">
        <v>0</v>
      </c>
      <c r="D14" s="8">
        <v>1</v>
      </c>
      <c r="E14" s="6">
        <v>0</v>
      </c>
      <c r="F14" s="6">
        <v>1</v>
      </c>
      <c r="G14" s="9">
        <v>0</v>
      </c>
      <c r="H14" s="9">
        <v>1</v>
      </c>
      <c r="I14" s="14">
        <v>0</v>
      </c>
      <c r="J14" s="14">
        <v>0</v>
      </c>
      <c r="K14" s="10"/>
      <c r="L14" s="10"/>
      <c r="M14" s="11"/>
      <c r="N14" s="11"/>
    </row>
    <row r="15" spans="1:14" x14ac:dyDescent="0.2">
      <c r="C15" s="12" t="s">
        <v>16</v>
      </c>
      <c r="D15" s="12">
        <v>1</v>
      </c>
      <c r="E15" s="12" t="s">
        <v>16</v>
      </c>
      <c r="F15" s="12">
        <v>2</v>
      </c>
      <c r="G15" s="12" t="s">
        <v>16</v>
      </c>
      <c r="H15" s="12">
        <v>1</v>
      </c>
      <c r="I15" s="12" t="s">
        <v>16</v>
      </c>
      <c r="J15" s="12">
        <v>1</v>
      </c>
      <c r="K15" s="12" t="s">
        <v>16</v>
      </c>
      <c r="L15" s="12">
        <v>1</v>
      </c>
      <c r="M15" s="12" t="s">
        <v>16</v>
      </c>
      <c r="N15" s="12">
        <f>IF(AND(B12&gt;=10,B12&lt;=50),1,IF(AND(B12&gt;50,B12&lt;=100),2,IF(AND(B12&gt;100,B12&lt;=150),3,"")))</f>
        <v>2</v>
      </c>
    </row>
    <row r="16" spans="1:14" x14ac:dyDescent="0.2"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9" spans="1:14" ht="15.75" thickBot="1" x14ac:dyDescent="0.25"/>
    <row r="20" spans="1:14" ht="16.5" thickTop="1" thickBot="1" x14ac:dyDescent="0.25">
      <c r="A20" s="16">
        <v>3</v>
      </c>
      <c r="B20" s="7" t="s">
        <v>0</v>
      </c>
      <c r="C20" s="8" t="s">
        <v>1</v>
      </c>
      <c r="D20" s="8"/>
      <c r="E20" s="6" t="s">
        <v>2</v>
      </c>
      <c r="F20" s="6"/>
      <c r="G20" s="9" t="s">
        <v>3</v>
      </c>
      <c r="H20" s="9"/>
      <c r="I20" s="14" t="s">
        <v>4</v>
      </c>
      <c r="J20" s="14"/>
      <c r="K20" s="10" t="s">
        <v>21</v>
      </c>
      <c r="L20" s="10" t="s">
        <v>20</v>
      </c>
      <c r="M20" s="17" t="s">
        <v>22</v>
      </c>
      <c r="N20" s="17" t="s">
        <v>23</v>
      </c>
    </row>
    <row r="21" spans="1:14" ht="16.5" thickTop="1" thickBot="1" x14ac:dyDescent="0.25">
      <c r="B21" s="7">
        <v>98</v>
      </c>
      <c r="C21" s="8">
        <v>58</v>
      </c>
      <c r="D21" s="8">
        <f>B21</f>
        <v>98</v>
      </c>
      <c r="E21" s="6">
        <v>58</v>
      </c>
      <c r="F21" s="6">
        <v>73.400000000000006</v>
      </c>
      <c r="G21" s="9">
        <v>55</v>
      </c>
      <c r="H21" s="9">
        <f>B21-3.2</f>
        <v>94.8</v>
      </c>
      <c r="I21" s="14">
        <v>7</v>
      </c>
      <c r="J21" s="14">
        <f>B21-3.2</f>
        <v>94.8</v>
      </c>
      <c r="K21" s="10">
        <f>D21-1.6</f>
        <v>96.4</v>
      </c>
      <c r="L21" s="10">
        <f>F21+1.6-0.8</f>
        <v>74.2</v>
      </c>
      <c r="M21" s="17">
        <f>IF(AND(B21&gt;=10,B21&lt;=50), B21-0.2, IF(AND(B21&gt;50,B21&lt;=100),B21/2-0.2, IF(AND(B21&gt;100,B21&lt;=150),B21/3-0.2, "")))</f>
        <v>48.8</v>
      </c>
      <c r="N21" s="11">
        <v>73.400000000000006</v>
      </c>
    </row>
    <row r="22" spans="1:14" ht="15.75" thickTop="1" x14ac:dyDescent="0.2">
      <c r="C22" s="8" t="s">
        <v>13</v>
      </c>
      <c r="D22" s="8" t="s">
        <v>13</v>
      </c>
      <c r="E22" s="6" t="s">
        <v>13</v>
      </c>
      <c r="F22" s="6" t="s">
        <v>13</v>
      </c>
      <c r="G22" s="9" t="s">
        <v>13</v>
      </c>
      <c r="H22" s="9" t="s">
        <v>13</v>
      </c>
      <c r="I22" s="14" t="s">
        <v>13</v>
      </c>
      <c r="J22" s="14" t="s">
        <v>13</v>
      </c>
      <c r="K22" s="10"/>
      <c r="L22" s="10"/>
      <c r="M22" s="11" t="s">
        <v>13</v>
      </c>
      <c r="N22" s="11" t="s">
        <v>13</v>
      </c>
    </row>
    <row r="23" spans="1:14" x14ac:dyDescent="0.2">
      <c r="C23" s="8">
        <v>0</v>
      </c>
      <c r="D23" s="8">
        <v>1</v>
      </c>
      <c r="E23" s="6">
        <v>0</v>
      </c>
      <c r="F23" s="6">
        <v>1</v>
      </c>
      <c r="G23" s="9">
        <v>0</v>
      </c>
      <c r="H23" s="9">
        <v>1</v>
      </c>
      <c r="I23" s="14">
        <v>0</v>
      </c>
      <c r="J23" s="14">
        <v>0</v>
      </c>
      <c r="K23" s="10"/>
      <c r="L23" s="10"/>
      <c r="M23" s="11"/>
      <c r="N23" s="11"/>
    </row>
    <row r="24" spans="1:14" x14ac:dyDescent="0.2">
      <c r="C24" s="12" t="s">
        <v>16</v>
      </c>
      <c r="D24" s="12">
        <v>1</v>
      </c>
      <c r="E24" s="12" t="s">
        <v>16</v>
      </c>
      <c r="F24" s="12">
        <v>2</v>
      </c>
      <c r="G24" s="12" t="s">
        <v>16</v>
      </c>
      <c r="H24" s="12">
        <v>1</v>
      </c>
      <c r="I24" s="12" t="s">
        <v>16</v>
      </c>
      <c r="J24" s="12">
        <v>1</v>
      </c>
      <c r="K24" s="12" t="s">
        <v>16</v>
      </c>
      <c r="L24" s="12">
        <v>1</v>
      </c>
      <c r="M24" s="12" t="s">
        <v>16</v>
      </c>
      <c r="N24" s="12">
        <f>IF(AND(B21&gt;=10,B21&lt;=50),1,IF(AND(B21&gt;50,B21&lt;=100),2,IF(AND(B21&gt;100,B21&lt;=150),3,"")))</f>
        <v>2</v>
      </c>
    </row>
    <row r="25" spans="1:14" x14ac:dyDescent="0.2"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9" spans="1:14" ht="15.75" thickBot="1" x14ac:dyDescent="0.25"/>
    <row r="30" spans="1:14" ht="16.5" thickTop="1" thickBot="1" x14ac:dyDescent="0.25">
      <c r="A30" s="16">
        <v>4</v>
      </c>
      <c r="B30" s="7" t="s">
        <v>0</v>
      </c>
      <c r="C30" s="8" t="s">
        <v>1</v>
      </c>
      <c r="D30" s="8"/>
      <c r="E30" s="6" t="s">
        <v>2</v>
      </c>
      <c r="F30" s="6"/>
      <c r="G30" s="9" t="s">
        <v>3</v>
      </c>
      <c r="H30" s="9"/>
      <c r="I30" s="14" t="s">
        <v>4</v>
      </c>
      <c r="J30" s="14"/>
      <c r="K30" s="10" t="s">
        <v>21</v>
      </c>
      <c r="L30" s="10" t="s">
        <v>20</v>
      </c>
      <c r="M30" s="17" t="s">
        <v>22</v>
      </c>
      <c r="N30" s="17" t="s">
        <v>23</v>
      </c>
    </row>
    <row r="31" spans="1:14" ht="16.5" thickTop="1" thickBot="1" x14ac:dyDescent="0.25">
      <c r="B31" s="7">
        <v>100</v>
      </c>
      <c r="C31" s="8">
        <v>58</v>
      </c>
      <c r="D31" s="8">
        <f>B31</f>
        <v>100</v>
      </c>
      <c r="E31" s="6">
        <v>58</v>
      </c>
      <c r="F31" s="6">
        <v>73.400000000000006</v>
      </c>
      <c r="G31" s="9">
        <v>55</v>
      </c>
      <c r="H31" s="9">
        <f>B31-3.2</f>
        <v>96.8</v>
      </c>
      <c r="I31" s="14">
        <v>7</v>
      </c>
      <c r="J31" s="14">
        <f>B31-3.2</f>
        <v>96.8</v>
      </c>
      <c r="K31" s="10">
        <f>D31-1.6</f>
        <v>98.4</v>
      </c>
      <c r="L31" s="10">
        <f>F31+1.6-0.8</f>
        <v>74.2</v>
      </c>
      <c r="M31" s="17">
        <f>IF(AND(B31&gt;=10,B31&lt;=50), B31-0.2, IF(AND(B31&gt;50,B31&lt;=100),B31/2-0.2, IF(AND(B31&gt;100,B31&lt;=150),B31/3-0.2, "")))</f>
        <v>49.8</v>
      </c>
      <c r="N31" s="11">
        <v>73.400000000000006</v>
      </c>
    </row>
    <row r="32" spans="1:14" ht="15.75" thickTop="1" x14ac:dyDescent="0.2">
      <c r="C32" s="8" t="s">
        <v>13</v>
      </c>
      <c r="D32" s="8" t="s">
        <v>13</v>
      </c>
      <c r="E32" s="6" t="s">
        <v>13</v>
      </c>
      <c r="F32" s="6" t="s">
        <v>13</v>
      </c>
      <c r="G32" s="9" t="s">
        <v>13</v>
      </c>
      <c r="H32" s="9" t="s">
        <v>13</v>
      </c>
      <c r="I32" s="14" t="s">
        <v>13</v>
      </c>
      <c r="J32" s="14" t="s">
        <v>13</v>
      </c>
      <c r="K32" s="10"/>
      <c r="L32" s="10"/>
      <c r="M32" s="11" t="s">
        <v>13</v>
      </c>
      <c r="N32" s="11" t="s">
        <v>13</v>
      </c>
    </row>
    <row r="33" spans="1:14" x14ac:dyDescent="0.2">
      <c r="C33" s="8">
        <v>0</v>
      </c>
      <c r="D33" s="8">
        <v>1</v>
      </c>
      <c r="E33" s="6">
        <v>0</v>
      </c>
      <c r="F33" s="6">
        <v>1</v>
      </c>
      <c r="G33" s="9">
        <v>0</v>
      </c>
      <c r="H33" s="9">
        <v>1</v>
      </c>
      <c r="I33" s="14">
        <v>0</v>
      </c>
      <c r="J33" s="14">
        <v>0</v>
      </c>
      <c r="K33" s="10"/>
      <c r="L33" s="10"/>
      <c r="M33" s="11"/>
      <c r="N33" s="11"/>
    </row>
    <row r="34" spans="1:14" x14ac:dyDescent="0.2">
      <c r="C34" s="12" t="s">
        <v>16</v>
      </c>
      <c r="D34" s="12">
        <v>1</v>
      </c>
      <c r="E34" s="12" t="s">
        <v>16</v>
      </c>
      <c r="F34" s="12">
        <v>2</v>
      </c>
      <c r="G34" s="12" t="s">
        <v>16</v>
      </c>
      <c r="H34" s="12">
        <v>1</v>
      </c>
      <c r="I34" s="12" t="s">
        <v>16</v>
      </c>
      <c r="J34" s="12">
        <v>1</v>
      </c>
      <c r="K34" s="12" t="s">
        <v>16</v>
      </c>
      <c r="L34" s="12">
        <v>1</v>
      </c>
      <c r="M34" s="12" t="s">
        <v>16</v>
      </c>
      <c r="N34" s="12">
        <f>IF(AND(B31&gt;=10,B31&lt;=50),1,IF(AND(B31&gt;50,B31&lt;=100),2,IF(AND(B31&gt;100,B31&lt;=150),3,"")))</f>
        <v>2</v>
      </c>
    </row>
    <row r="35" spans="1:14" x14ac:dyDescent="0.2"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7" spans="1:14" ht="15.75" thickBot="1" x14ac:dyDescent="0.25"/>
    <row r="38" spans="1:14" ht="16.5" thickTop="1" thickBot="1" x14ac:dyDescent="0.25">
      <c r="A38" s="16">
        <v>5</v>
      </c>
      <c r="B38" s="7" t="s">
        <v>0</v>
      </c>
      <c r="C38" s="8" t="s">
        <v>1</v>
      </c>
      <c r="D38" s="8"/>
      <c r="E38" s="6" t="s">
        <v>2</v>
      </c>
      <c r="F38" s="6"/>
      <c r="G38" s="9" t="s">
        <v>3</v>
      </c>
      <c r="H38" s="9"/>
      <c r="I38" s="14" t="s">
        <v>4</v>
      </c>
      <c r="J38" s="14"/>
      <c r="K38" s="10" t="s">
        <v>21</v>
      </c>
      <c r="L38" s="10" t="s">
        <v>20</v>
      </c>
      <c r="M38" s="17" t="s">
        <v>22</v>
      </c>
      <c r="N38" s="17" t="s">
        <v>23</v>
      </c>
    </row>
    <row r="39" spans="1:14" ht="16.5" thickTop="1" thickBot="1" x14ac:dyDescent="0.25">
      <c r="B39" s="7">
        <v>98</v>
      </c>
      <c r="C39" s="8">
        <v>58</v>
      </c>
      <c r="D39" s="8">
        <f>B39</f>
        <v>98</v>
      </c>
      <c r="E39" s="6">
        <v>58</v>
      </c>
      <c r="F39" s="6">
        <v>73.400000000000006</v>
      </c>
      <c r="G39" s="9">
        <v>55</v>
      </c>
      <c r="H39" s="9">
        <f>B39-3.2</f>
        <v>94.8</v>
      </c>
      <c r="I39" s="14">
        <v>7</v>
      </c>
      <c r="J39" s="14">
        <f>B39-3.2</f>
        <v>94.8</v>
      </c>
      <c r="K39" s="10">
        <f>D39-1.6</f>
        <v>96.4</v>
      </c>
      <c r="L39" s="10">
        <f>F39+1.6-0.8</f>
        <v>74.2</v>
      </c>
      <c r="M39" s="17">
        <f>IF(AND(B39&gt;=10,B39&lt;=50), B39-0.2, IF(AND(B39&gt;50,B39&lt;=100),B39/2-0.2, IF(AND(B39&gt;100,B39&lt;=150),B39/3-0.2, "")))</f>
        <v>48.8</v>
      </c>
      <c r="N39" s="11">
        <v>73.400000000000006</v>
      </c>
    </row>
    <row r="40" spans="1:14" ht="15.75" thickTop="1" x14ac:dyDescent="0.2">
      <c r="C40" s="8" t="s">
        <v>13</v>
      </c>
      <c r="D40" s="8" t="s">
        <v>13</v>
      </c>
      <c r="E40" s="6" t="s">
        <v>13</v>
      </c>
      <c r="F40" s="6" t="s">
        <v>13</v>
      </c>
      <c r="G40" s="9" t="s">
        <v>13</v>
      </c>
      <c r="H40" s="9" t="s">
        <v>13</v>
      </c>
      <c r="I40" s="14" t="s">
        <v>13</v>
      </c>
      <c r="J40" s="14" t="s">
        <v>13</v>
      </c>
      <c r="K40" s="10"/>
      <c r="L40" s="10"/>
      <c r="M40" s="11" t="s">
        <v>13</v>
      </c>
      <c r="N40" s="11" t="s">
        <v>13</v>
      </c>
    </row>
    <row r="41" spans="1:14" x14ac:dyDescent="0.2">
      <c r="C41" s="8">
        <v>0</v>
      </c>
      <c r="D41" s="8">
        <v>1</v>
      </c>
      <c r="E41" s="6">
        <v>0</v>
      </c>
      <c r="F41" s="6">
        <v>1</v>
      </c>
      <c r="G41" s="9">
        <v>0</v>
      </c>
      <c r="H41" s="9">
        <v>1</v>
      </c>
      <c r="I41" s="14">
        <v>0</v>
      </c>
      <c r="J41" s="14">
        <v>0</v>
      </c>
      <c r="K41" s="10"/>
      <c r="L41" s="10"/>
      <c r="M41" s="11"/>
      <c r="N41" s="11"/>
    </row>
    <row r="42" spans="1:14" x14ac:dyDescent="0.2">
      <c r="C42" s="12" t="s">
        <v>16</v>
      </c>
      <c r="D42" s="12">
        <v>1</v>
      </c>
      <c r="E42" s="12" t="s">
        <v>16</v>
      </c>
      <c r="F42" s="12">
        <v>2</v>
      </c>
      <c r="G42" s="12" t="s">
        <v>16</v>
      </c>
      <c r="H42" s="12">
        <v>1</v>
      </c>
      <c r="I42" s="12" t="s">
        <v>16</v>
      </c>
      <c r="J42" s="12">
        <v>1</v>
      </c>
      <c r="K42" s="12" t="s">
        <v>16</v>
      </c>
      <c r="L42" s="12">
        <v>1</v>
      </c>
      <c r="M42" s="12" t="s">
        <v>16</v>
      </c>
      <c r="N42" s="12">
        <f>IF(AND(B39&gt;=10,B39&lt;=50),1,IF(AND(B39&gt;50,B39&lt;=100),2,IF(AND(B39&gt;100,B39&lt;=150),3,"")))</f>
        <v>2</v>
      </c>
    </row>
    <row r="43" spans="1:14" x14ac:dyDescent="0.2"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5" spans="1:14" ht="15.75" thickBot="1" x14ac:dyDescent="0.25"/>
    <row r="46" spans="1:14" ht="16.5" thickTop="1" thickBot="1" x14ac:dyDescent="0.25">
      <c r="A46" s="16">
        <v>6</v>
      </c>
      <c r="B46" s="7" t="s">
        <v>0</v>
      </c>
      <c r="C46" s="8" t="s">
        <v>1</v>
      </c>
      <c r="D46" s="8"/>
      <c r="E46" s="6" t="s">
        <v>2</v>
      </c>
      <c r="F46" s="6"/>
      <c r="G46" s="9" t="s">
        <v>3</v>
      </c>
      <c r="H46" s="9"/>
      <c r="I46" s="14" t="s">
        <v>4</v>
      </c>
      <c r="J46" s="14"/>
      <c r="K46" s="10" t="s">
        <v>21</v>
      </c>
      <c r="L46" s="10" t="s">
        <v>20</v>
      </c>
      <c r="M46" s="17" t="s">
        <v>22</v>
      </c>
      <c r="N46" s="17" t="s">
        <v>23</v>
      </c>
    </row>
    <row r="47" spans="1:14" ht="16.5" thickTop="1" thickBot="1" x14ac:dyDescent="0.25">
      <c r="B47" s="7">
        <v>98</v>
      </c>
      <c r="C47" s="8">
        <v>58</v>
      </c>
      <c r="D47" s="8">
        <f>B47</f>
        <v>98</v>
      </c>
      <c r="E47" s="6">
        <v>58</v>
      </c>
      <c r="F47" s="6">
        <v>73.400000000000006</v>
      </c>
      <c r="G47" s="9">
        <v>55</v>
      </c>
      <c r="H47" s="9">
        <f>B47-3.2</f>
        <v>94.8</v>
      </c>
      <c r="I47" s="14">
        <v>7</v>
      </c>
      <c r="J47" s="14">
        <f>B47-3.2</f>
        <v>94.8</v>
      </c>
      <c r="K47" s="10">
        <f>D47-1.6</f>
        <v>96.4</v>
      </c>
      <c r="L47" s="10">
        <f>F47+1.6-0.8</f>
        <v>74.2</v>
      </c>
      <c r="M47" s="17">
        <f>IF(AND(B47&gt;=10,B47&lt;=50), B47-0.2, IF(AND(B47&gt;50,B47&lt;=100),B47/2-0.2, IF(AND(B47&gt;100,B47&lt;=150),B47/3-0.2, "")))</f>
        <v>48.8</v>
      </c>
      <c r="N47" s="11">
        <v>73.400000000000006</v>
      </c>
    </row>
    <row r="48" spans="1:14" ht="15.75" thickTop="1" x14ac:dyDescent="0.2">
      <c r="C48" s="8" t="s">
        <v>13</v>
      </c>
      <c r="D48" s="8" t="s">
        <v>13</v>
      </c>
      <c r="E48" s="6" t="s">
        <v>13</v>
      </c>
      <c r="F48" s="6" t="s">
        <v>13</v>
      </c>
      <c r="G48" s="9" t="s">
        <v>13</v>
      </c>
      <c r="H48" s="9" t="s">
        <v>13</v>
      </c>
      <c r="I48" s="14" t="s">
        <v>13</v>
      </c>
      <c r="J48" s="14" t="s">
        <v>13</v>
      </c>
      <c r="K48" s="10"/>
      <c r="L48" s="10"/>
      <c r="M48" s="11" t="s">
        <v>13</v>
      </c>
      <c r="N48" s="11" t="s">
        <v>13</v>
      </c>
    </row>
    <row r="49" spans="1:14" x14ac:dyDescent="0.2">
      <c r="C49" s="8">
        <v>0</v>
      </c>
      <c r="D49" s="8">
        <v>1</v>
      </c>
      <c r="E49" s="6">
        <v>0</v>
      </c>
      <c r="F49" s="6">
        <v>1</v>
      </c>
      <c r="G49" s="9">
        <v>0</v>
      </c>
      <c r="H49" s="9">
        <v>1</v>
      </c>
      <c r="I49" s="14">
        <v>0</v>
      </c>
      <c r="J49" s="14">
        <v>0</v>
      </c>
      <c r="K49" s="10"/>
      <c r="L49" s="10"/>
      <c r="M49" s="11"/>
      <c r="N49" s="11"/>
    </row>
    <row r="50" spans="1:14" x14ac:dyDescent="0.2">
      <c r="C50" s="12" t="s">
        <v>16</v>
      </c>
      <c r="D50" s="12">
        <v>1</v>
      </c>
      <c r="E50" s="12" t="s">
        <v>16</v>
      </c>
      <c r="F50" s="12">
        <v>2</v>
      </c>
      <c r="G50" s="12" t="s">
        <v>16</v>
      </c>
      <c r="H50" s="12">
        <v>1</v>
      </c>
      <c r="I50" s="12" t="s">
        <v>16</v>
      </c>
      <c r="J50" s="12">
        <v>1</v>
      </c>
      <c r="K50" s="12" t="s">
        <v>16</v>
      </c>
      <c r="L50" s="12">
        <v>1</v>
      </c>
      <c r="M50" s="12" t="s">
        <v>16</v>
      </c>
      <c r="N50" s="12">
        <f>IF(AND(B47&gt;=10,B47&lt;=50),1,IF(AND(B47&gt;50,B47&lt;=100),2,IF(AND(B47&gt;100,B47&lt;=150),3,"")))</f>
        <v>2</v>
      </c>
    </row>
    <row r="51" spans="1:14" x14ac:dyDescent="0.2"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3" spans="1:14" ht="15.75" thickBot="1" x14ac:dyDescent="0.25"/>
    <row r="54" spans="1:14" ht="16.5" thickTop="1" thickBot="1" x14ac:dyDescent="0.25">
      <c r="A54" s="16">
        <v>7</v>
      </c>
      <c r="B54" s="7" t="s">
        <v>0</v>
      </c>
      <c r="C54" s="8" t="s">
        <v>1</v>
      </c>
      <c r="D54" s="8"/>
      <c r="E54" s="6" t="s">
        <v>2</v>
      </c>
      <c r="F54" s="6"/>
      <c r="G54" s="9" t="s">
        <v>3</v>
      </c>
      <c r="H54" s="9"/>
      <c r="I54" s="14" t="s">
        <v>4</v>
      </c>
      <c r="J54" s="14"/>
      <c r="K54" s="10" t="s">
        <v>21</v>
      </c>
      <c r="L54" s="10" t="s">
        <v>20</v>
      </c>
      <c r="M54" s="17" t="s">
        <v>22</v>
      </c>
      <c r="N54" s="17" t="s">
        <v>23</v>
      </c>
    </row>
    <row r="55" spans="1:14" ht="16.5" thickTop="1" thickBot="1" x14ac:dyDescent="0.25">
      <c r="B55" s="7">
        <v>30</v>
      </c>
      <c r="C55" s="8">
        <v>58</v>
      </c>
      <c r="D55" s="8">
        <f>B55</f>
        <v>30</v>
      </c>
      <c r="E55" s="6">
        <v>58</v>
      </c>
      <c r="F55" s="6">
        <v>73.400000000000006</v>
      </c>
      <c r="G55" s="9">
        <v>55</v>
      </c>
      <c r="H55" s="9">
        <f>B55-3.2</f>
        <v>26.8</v>
      </c>
      <c r="I55" s="14">
        <v>7</v>
      </c>
      <c r="J55" s="14">
        <f>B55-3.2</f>
        <v>26.8</v>
      </c>
      <c r="K55" s="10">
        <f>D55-1.6</f>
        <v>28.4</v>
      </c>
      <c r="L55" s="10">
        <f>F55+1.6-0.8</f>
        <v>74.2</v>
      </c>
      <c r="M55" s="17">
        <f>IF(AND(B55&gt;=10,B55&lt;=50), B55-0.2, IF(AND(B55&gt;50,B55&lt;=100),B55/2-0.2, IF(AND(B55&gt;100,B55&lt;=150),B55/3-0.2, "")))</f>
        <v>29.8</v>
      </c>
      <c r="N55" s="11">
        <v>73.400000000000006</v>
      </c>
    </row>
    <row r="56" spans="1:14" ht="15.75" thickTop="1" x14ac:dyDescent="0.2">
      <c r="C56" s="8" t="s">
        <v>13</v>
      </c>
      <c r="D56" s="8" t="s">
        <v>13</v>
      </c>
      <c r="E56" s="6" t="s">
        <v>13</v>
      </c>
      <c r="F56" s="6" t="s">
        <v>13</v>
      </c>
      <c r="G56" s="9" t="s">
        <v>13</v>
      </c>
      <c r="H56" s="9" t="s">
        <v>13</v>
      </c>
      <c r="I56" s="14" t="s">
        <v>13</v>
      </c>
      <c r="J56" s="14" t="s">
        <v>13</v>
      </c>
      <c r="K56" s="10"/>
      <c r="L56" s="10"/>
      <c r="M56" s="11" t="s">
        <v>13</v>
      </c>
      <c r="N56" s="11" t="s">
        <v>13</v>
      </c>
    </row>
    <row r="57" spans="1:14" x14ac:dyDescent="0.2">
      <c r="C57" s="8">
        <v>0</v>
      </c>
      <c r="D57" s="8">
        <v>1</v>
      </c>
      <c r="E57" s="6">
        <v>0</v>
      </c>
      <c r="F57" s="6">
        <v>1</v>
      </c>
      <c r="G57" s="9">
        <v>0</v>
      </c>
      <c r="H57" s="9">
        <v>1</v>
      </c>
      <c r="I57" s="14">
        <v>0</v>
      </c>
      <c r="J57" s="14">
        <v>0</v>
      </c>
      <c r="K57" s="10"/>
      <c r="L57" s="10"/>
      <c r="M57" s="11"/>
      <c r="N57" s="11"/>
    </row>
    <row r="58" spans="1:14" x14ac:dyDescent="0.2">
      <c r="C58" s="12" t="s">
        <v>16</v>
      </c>
      <c r="D58" s="12">
        <v>1</v>
      </c>
      <c r="E58" s="12" t="s">
        <v>16</v>
      </c>
      <c r="F58" s="12">
        <v>2</v>
      </c>
      <c r="G58" s="12" t="s">
        <v>16</v>
      </c>
      <c r="H58" s="12">
        <v>1</v>
      </c>
      <c r="I58" s="12" t="s">
        <v>16</v>
      </c>
      <c r="J58" s="12">
        <v>1</v>
      </c>
      <c r="K58" s="12" t="s">
        <v>16</v>
      </c>
      <c r="L58" s="12">
        <v>1</v>
      </c>
      <c r="M58" s="12" t="s">
        <v>16</v>
      </c>
      <c r="N58" s="12">
        <f>IF(AND(B55&gt;=10,B55&lt;=50),1,IF(AND(B55&gt;50,B55&lt;=100),2,IF(AND(B55&gt;100,B55&lt;=150),3,"")))</f>
        <v>1</v>
      </c>
    </row>
    <row r="59" spans="1:14" x14ac:dyDescent="0.2"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1" spans="1:14" ht="15.75" thickBot="1" x14ac:dyDescent="0.25"/>
    <row r="62" spans="1:14" ht="16.5" thickTop="1" thickBot="1" x14ac:dyDescent="0.25">
      <c r="A62" s="16">
        <v>8</v>
      </c>
      <c r="B62" s="7" t="s">
        <v>0</v>
      </c>
      <c r="C62" s="8" t="s">
        <v>1</v>
      </c>
      <c r="D62" s="8"/>
      <c r="E62" s="6" t="s">
        <v>2</v>
      </c>
      <c r="F62" s="6"/>
      <c r="G62" s="9" t="s">
        <v>3</v>
      </c>
      <c r="H62" s="9"/>
      <c r="I62" s="14" t="s">
        <v>4</v>
      </c>
      <c r="J62" s="14"/>
      <c r="K62" s="10" t="s">
        <v>21</v>
      </c>
      <c r="L62" s="10" t="s">
        <v>20</v>
      </c>
      <c r="M62" s="17" t="s">
        <v>22</v>
      </c>
      <c r="N62" s="17" t="s">
        <v>23</v>
      </c>
    </row>
    <row r="63" spans="1:14" ht="16.5" thickTop="1" thickBot="1" x14ac:dyDescent="0.25">
      <c r="B63" s="7">
        <v>98</v>
      </c>
      <c r="C63" s="8">
        <v>58</v>
      </c>
      <c r="D63" s="8">
        <f>B63</f>
        <v>98</v>
      </c>
      <c r="E63" s="6">
        <v>58</v>
      </c>
      <c r="F63" s="6">
        <v>73.400000000000006</v>
      </c>
      <c r="G63" s="9">
        <v>55</v>
      </c>
      <c r="H63" s="9">
        <f>B63-3.2</f>
        <v>94.8</v>
      </c>
      <c r="I63" s="14">
        <v>7</v>
      </c>
      <c r="J63" s="14">
        <f>B63-3.2</f>
        <v>94.8</v>
      </c>
      <c r="K63" s="10">
        <f>D63-1.6</f>
        <v>96.4</v>
      </c>
      <c r="L63" s="10">
        <f>F63+1.6-0.8</f>
        <v>74.2</v>
      </c>
      <c r="M63" s="17">
        <f>IF(AND(B63&gt;=10,B63&lt;=50), B63-0.2, IF(AND(B63&gt;50,B63&lt;=100),B63/2-0.2, IF(AND(B63&gt;100,B63&lt;=150),B63/3-0.2, "")))</f>
        <v>48.8</v>
      </c>
      <c r="N63" s="11">
        <v>73.400000000000006</v>
      </c>
    </row>
    <row r="64" spans="1:14" ht="15.75" thickTop="1" x14ac:dyDescent="0.2">
      <c r="C64" s="8" t="s">
        <v>13</v>
      </c>
      <c r="D64" s="8" t="s">
        <v>13</v>
      </c>
      <c r="E64" s="6" t="s">
        <v>13</v>
      </c>
      <c r="F64" s="6" t="s">
        <v>13</v>
      </c>
      <c r="G64" s="9" t="s">
        <v>13</v>
      </c>
      <c r="H64" s="9" t="s">
        <v>13</v>
      </c>
      <c r="I64" s="14" t="s">
        <v>13</v>
      </c>
      <c r="J64" s="14" t="s">
        <v>13</v>
      </c>
      <c r="K64" s="10"/>
      <c r="L64" s="10"/>
      <c r="M64" s="11" t="s">
        <v>13</v>
      </c>
      <c r="N64" s="11" t="s">
        <v>13</v>
      </c>
    </row>
    <row r="65" spans="1:14" x14ac:dyDescent="0.2">
      <c r="C65" s="8">
        <v>0</v>
      </c>
      <c r="D65" s="8">
        <v>1</v>
      </c>
      <c r="E65" s="6">
        <v>0</v>
      </c>
      <c r="F65" s="6">
        <v>1</v>
      </c>
      <c r="G65" s="9">
        <v>0</v>
      </c>
      <c r="H65" s="9">
        <v>1</v>
      </c>
      <c r="I65" s="14">
        <v>0</v>
      </c>
      <c r="J65" s="14">
        <v>0</v>
      </c>
      <c r="K65" s="10"/>
      <c r="L65" s="10"/>
      <c r="M65" s="11"/>
      <c r="N65" s="11"/>
    </row>
    <row r="66" spans="1:14" x14ac:dyDescent="0.2">
      <c r="C66" s="12" t="s">
        <v>16</v>
      </c>
      <c r="D66" s="12">
        <v>1</v>
      </c>
      <c r="E66" s="12" t="s">
        <v>16</v>
      </c>
      <c r="F66" s="12">
        <v>2</v>
      </c>
      <c r="G66" s="12" t="s">
        <v>16</v>
      </c>
      <c r="H66" s="12">
        <v>1</v>
      </c>
      <c r="I66" s="12" t="s">
        <v>16</v>
      </c>
      <c r="J66" s="12">
        <v>1</v>
      </c>
      <c r="K66" s="12" t="s">
        <v>16</v>
      </c>
      <c r="L66" s="12">
        <v>1</v>
      </c>
      <c r="M66" s="12" t="s">
        <v>16</v>
      </c>
      <c r="N66" s="12">
        <f>IF(AND(B63&gt;=10,B63&lt;=50),1,IF(AND(B63&gt;50,B63&lt;=100),2,IF(AND(B63&gt;100,B63&lt;=150),3,"")))</f>
        <v>2</v>
      </c>
    </row>
    <row r="67" spans="1:14" x14ac:dyDescent="0.2"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</row>
    <row r="69" spans="1:14" ht="15.75" thickBot="1" x14ac:dyDescent="0.25"/>
    <row r="70" spans="1:14" ht="16.5" thickTop="1" thickBot="1" x14ac:dyDescent="0.25">
      <c r="A70" s="16">
        <v>9</v>
      </c>
      <c r="B70" s="7" t="s">
        <v>0</v>
      </c>
      <c r="C70" s="8" t="s">
        <v>1</v>
      </c>
      <c r="D70" s="8"/>
      <c r="E70" s="6" t="s">
        <v>2</v>
      </c>
      <c r="F70" s="6"/>
      <c r="G70" s="9" t="s">
        <v>3</v>
      </c>
      <c r="H70" s="9"/>
      <c r="I70" s="14" t="s">
        <v>4</v>
      </c>
      <c r="J70" s="14"/>
      <c r="K70" s="10" t="s">
        <v>21</v>
      </c>
      <c r="L70" s="10" t="s">
        <v>20</v>
      </c>
      <c r="M70" s="17" t="s">
        <v>22</v>
      </c>
      <c r="N70" s="17" t="s">
        <v>23</v>
      </c>
    </row>
    <row r="71" spans="1:14" ht="16.5" thickTop="1" thickBot="1" x14ac:dyDescent="0.25">
      <c r="B71" s="7">
        <v>98</v>
      </c>
      <c r="C71" s="8">
        <v>58</v>
      </c>
      <c r="D71" s="8">
        <f>B71</f>
        <v>98</v>
      </c>
      <c r="E71" s="6">
        <v>58</v>
      </c>
      <c r="F71" s="6">
        <v>73.400000000000006</v>
      </c>
      <c r="G71" s="9">
        <v>55</v>
      </c>
      <c r="H71" s="9">
        <f>B71-3.2</f>
        <v>94.8</v>
      </c>
      <c r="I71" s="14">
        <v>7</v>
      </c>
      <c r="J71" s="14">
        <f>B71-3.2</f>
        <v>94.8</v>
      </c>
      <c r="K71" s="10">
        <f>D71-1.6</f>
        <v>96.4</v>
      </c>
      <c r="L71" s="10">
        <f>F71+1.6-0.8</f>
        <v>74.2</v>
      </c>
      <c r="M71" s="17">
        <f>IF(AND(B71&gt;=10,B71&lt;=50), B71-0.2, IF(AND(B71&gt;50,B71&lt;=100),B71/2-0.2, IF(AND(B71&gt;100,B71&lt;=150),B71/3-0.2, "")))</f>
        <v>48.8</v>
      </c>
      <c r="N71" s="11">
        <v>73.400000000000006</v>
      </c>
    </row>
    <row r="72" spans="1:14" ht="15.75" thickTop="1" x14ac:dyDescent="0.2">
      <c r="C72" s="8" t="s">
        <v>13</v>
      </c>
      <c r="D72" s="8" t="s">
        <v>13</v>
      </c>
      <c r="E72" s="6" t="s">
        <v>13</v>
      </c>
      <c r="F72" s="6" t="s">
        <v>13</v>
      </c>
      <c r="G72" s="9" t="s">
        <v>13</v>
      </c>
      <c r="H72" s="9" t="s">
        <v>13</v>
      </c>
      <c r="I72" s="14" t="s">
        <v>13</v>
      </c>
      <c r="J72" s="14" t="s">
        <v>13</v>
      </c>
      <c r="K72" s="10"/>
      <c r="L72" s="10"/>
      <c r="M72" s="11" t="s">
        <v>13</v>
      </c>
      <c r="N72" s="11" t="s">
        <v>13</v>
      </c>
    </row>
    <row r="73" spans="1:14" x14ac:dyDescent="0.2">
      <c r="C73" s="8">
        <v>0</v>
      </c>
      <c r="D73" s="8">
        <v>1</v>
      </c>
      <c r="E73" s="6">
        <v>0</v>
      </c>
      <c r="F73" s="6">
        <v>1</v>
      </c>
      <c r="G73" s="9">
        <v>0</v>
      </c>
      <c r="H73" s="9">
        <v>1</v>
      </c>
      <c r="I73" s="14">
        <v>0</v>
      </c>
      <c r="J73" s="14">
        <v>0</v>
      </c>
      <c r="K73" s="10"/>
      <c r="L73" s="10"/>
      <c r="M73" s="11"/>
      <c r="N73" s="11"/>
    </row>
    <row r="74" spans="1:14" x14ac:dyDescent="0.2">
      <c r="C74" s="12" t="s">
        <v>16</v>
      </c>
      <c r="D74" s="12">
        <v>1</v>
      </c>
      <c r="E74" s="12" t="s">
        <v>16</v>
      </c>
      <c r="F74" s="12">
        <v>2</v>
      </c>
      <c r="G74" s="12" t="s">
        <v>16</v>
      </c>
      <c r="H74" s="12">
        <v>1</v>
      </c>
      <c r="I74" s="12" t="s">
        <v>16</v>
      </c>
      <c r="J74" s="12">
        <v>1</v>
      </c>
      <c r="K74" s="12" t="s">
        <v>16</v>
      </c>
      <c r="L74" s="12">
        <v>1</v>
      </c>
      <c r="M74" s="12" t="s">
        <v>16</v>
      </c>
      <c r="N74" s="12">
        <f>IF(AND(B71&gt;=10,B71&lt;=50),1,IF(AND(B71&gt;50,B71&lt;=100),2,IF(AND(B71&gt;100,B71&lt;=150),3,"")))</f>
        <v>2</v>
      </c>
    </row>
    <row r="75" spans="1:14" x14ac:dyDescent="0.2"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</row>
    <row r="77" spans="1:14" ht="15.75" thickBot="1" x14ac:dyDescent="0.25"/>
    <row r="78" spans="1:14" ht="16.5" thickTop="1" thickBot="1" x14ac:dyDescent="0.25">
      <c r="A78" s="16">
        <v>10</v>
      </c>
      <c r="B78" s="7" t="s">
        <v>0</v>
      </c>
      <c r="C78" s="8" t="s">
        <v>1</v>
      </c>
      <c r="D78" s="8"/>
      <c r="E78" s="6" t="s">
        <v>2</v>
      </c>
      <c r="F78" s="6"/>
      <c r="G78" s="9" t="s">
        <v>3</v>
      </c>
      <c r="H78" s="9"/>
      <c r="I78" s="14" t="s">
        <v>4</v>
      </c>
      <c r="J78" s="14"/>
      <c r="K78" s="10" t="s">
        <v>21</v>
      </c>
      <c r="L78" s="10" t="s">
        <v>20</v>
      </c>
      <c r="M78" s="17" t="s">
        <v>22</v>
      </c>
      <c r="N78" s="17" t="s">
        <v>23</v>
      </c>
    </row>
    <row r="79" spans="1:14" ht="16.5" thickTop="1" thickBot="1" x14ac:dyDescent="0.25">
      <c r="B79" s="7">
        <v>100</v>
      </c>
      <c r="C79" s="8">
        <v>58</v>
      </c>
      <c r="D79" s="8">
        <f>B79</f>
        <v>100</v>
      </c>
      <c r="E79" s="6">
        <v>58</v>
      </c>
      <c r="F79" s="6">
        <v>73.400000000000006</v>
      </c>
      <c r="G79" s="9">
        <v>55</v>
      </c>
      <c r="H79" s="9">
        <f>B79-3.2</f>
        <v>96.8</v>
      </c>
      <c r="I79" s="14">
        <v>7</v>
      </c>
      <c r="J79" s="14">
        <f>B79-3.2</f>
        <v>96.8</v>
      </c>
      <c r="K79" s="10">
        <f>D79-1.6</f>
        <v>98.4</v>
      </c>
      <c r="L79" s="10">
        <f>F79+1.6-0.8</f>
        <v>74.2</v>
      </c>
      <c r="M79" s="17">
        <f>IF(AND(B79&gt;=10,B79&lt;=50), B79-0.2, IF(AND(B79&gt;50,B79&lt;=100),B79/2-0.2, IF(AND(B79&gt;100,B79&lt;=150),B79/3-0.2, "")))</f>
        <v>49.8</v>
      </c>
      <c r="N79" s="11">
        <v>73.400000000000006</v>
      </c>
    </row>
    <row r="80" spans="1:14" ht="15.75" thickTop="1" x14ac:dyDescent="0.2">
      <c r="C80" s="8" t="s">
        <v>13</v>
      </c>
      <c r="D80" s="8" t="s">
        <v>13</v>
      </c>
      <c r="E80" s="6" t="s">
        <v>13</v>
      </c>
      <c r="F80" s="6" t="s">
        <v>13</v>
      </c>
      <c r="G80" s="9" t="s">
        <v>13</v>
      </c>
      <c r="H80" s="9" t="s">
        <v>13</v>
      </c>
      <c r="I80" s="14" t="s">
        <v>13</v>
      </c>
      <c r="J80" s="14" t="s">
        <v>13</v>
      </c>
      <c r="K80" s="10"/>
      <c r="L80" s="10"/>
      <c r="M80" s="11" t="s">
        <v>13</v>
      </c>
      <c r="N80" s="11" t="s">
        <v>13</v>
      </c>
    </row>
    <row r="81" spans="1:14" x14ac:dyDescent="0.2">
      <c r="C81" s="8">
        <v>0</v>
      </c>
      <c r="D81" s="8">
        <v>1</v>
      </c>
      <c r="E81" s="6">
        <v>0</v>
      </c>
      <c r="F81" s="6">
        <v>1</v>
      </c>
      <c r="G81" s="9">
        <v>0</v>
      </c>
      <c r="H81" s="9">
        <v>1</v>
      </c>
      <c r="I81" s="14">
        <v>0</v>
      </c>
      <c r="J81" s="14">
        <v>0</v>
      </c>
      <c r="K81" s="10"/>
      <c r="L81" s="10"/>
      <c r="M81" s="11"/>
      <c r="N81" s="11"/>
    </row>
    <row r="82" spans="1:14" x14ac:dyDescent="0.2">
      <c r="C82" s="12" t="s">
        <v>16</v>
      </c>
      <c r="D82" s="12">
        <v>0</v>
      </c>
      <c r="E82" s="12" t="s">
        <v>16</v>
      </c>
      <c r="F82" s="12">
        <v>2</v>
      </c>
      <c r="G82" s="12" t="s">
        <v>16</v>
      </c>
      <c r="H82" s="12">
        <v>0</v>
      </c>
      <c r="I82" s="12" t="s">
        <v>16</v>
      </c>
      <c r="J82" s="12">
        <v>0</v>
      </c>
      <c r="K82" s="12" t="s">
        <v>16</v>
      </c>
      <c r="L82" s="12">
        <v>0</v>
      </c>
      <c r="M82" s="12" t="s">
        <v>16</v>
      </c>
      <c r="N82" s="12">
        <f>IF(AND(B79&gt;=10,B79&lt;=50),1,IF(AND(B79&gt;50,B79&lt;=100),2,IF(AND(B79&gt;100,B79&lt;=150),3,"")))</f>
        <v>2</v>
      </c>
    </row>
    <row r="83" spans="1:14" x14ac:dyDescent="0.2"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</row>
    <row r="85" spans="1:14" ht="15.75" thickBot="1" x14ac:dyDescent="0.25"/>
    <row r="86" spans="1:14" ht="16.5" thickTop="1" thickBot="1" x14ac:dyDescent="0.25">
      <c r="A86" s="16">
        <v>11</v>
      </c>
      <c r="B86" s="7" t="s">
        <v>0</v>
      </c>
      <c r="C86" s="8" t="s">
        <v>1</v>
      </c>
      <c r="D86" s="8"/>
      <c r="E86" s="6" t="s">
        <v>2</v>
      </c>
      <c r="F86" s="6"/>
      <c r="G86" s="9" t="s">
        <v>3</v>
      </c>
      <c r="H86" s="9"/>
      <c r="I86" s="14" t="s">
        <v>4</v>
      </c>
      <c r="J86" s="14"/>
      <c r="K86" s="10" t="s">
        <v>21</v>
      </c>
      <c r="L86" s="10" t="s">
        <v>20</v>
      </c>
      <c r="M86" s="17" t="s">
        <v>22</v>
      </c>
      <c r="N86" s="17" t="s">
        <v>23</v>
      </c>
    </row>
    <row r="87" spans="1:14" ht="16.5" thickTop="1" thickBot="1" x14ac:dyDescent="0.25">
      <c r="B87" s="7">
        <v>98</v>
      </c>
      <c r="C87" s="8">
        <v>58</v>
      </c>
      <c r="D87" s="8">
        <f>B87</f>
        <v>98</v>
      </c>
      <c r="E87" s="6">
        <v>58</v>
      </c>
      <c r="F87" s="6">
        <v>73.400000000000006</v>
      </c>
      <c r="G87" s="9">
        <v>55</v>
      </c>
      <c r="H87" s="9">
        <f>B87-3.2</f>
        <v>94.8</v>
      </c>
      <c r="I87" s="14">
        <v>7</v>
      </c>
      <c r="J87" s="14">
        <f>B87-3.2</f>
        <v>94.8</v>
      </c>
      <c r="K87" s="10">
        <f>D87-1.6</f>
        <v>96.4</v>
      </c>
      <c r="L87" s="10">
        <f>F87+1.6-0.8</f>
        <v>74.2</v>
      </c>
      <c r="M87" s="17">
        <f>IF(AND(B87&gt;=10,B87&lt;=50), B87-0.2, IF(AND(B87&gt;50,B87&lt;=100),B87/2-0.2, IF(AND(B87&gt;100,B87&lt;=150),B87/3-0.2, "")))</f>
        <v>48.8</v>
      </c>
      <c r="N87" s="11">
        <v>73.400000000000006</v>
      </c>
    </row>
    <row r="88" spans="1:14" ht="15.75" thickTop="1" x14ac:dyDescent="0.2">
      <c r="C88" s="8" t="s">
        <v>13</v>
      </c>
      <c r="D88" s="8" t="s">
        <v>13</v>
      </c>
      <c r="E88" s="6" t="s">
        <v>13</v>
      </c>
      <c r="F88" s="6" t="s">
        <v>13</v>
      </c>
      <c r="G88" s="9" t="s">
        <v>13</v>
      </c>
      <c r="H88" s="9" t="s">
        <v>13</v>
      </c>
      <c r="I88" s="14" t="s">
        <v>13</v>
      </c>
      <c r="J88" s="14" t="s">
        <v>13</v>
      </c>
      <c r="K88" s="10"/>
      <c r="L88" s="10"/>
      <c r="M88" s="11" t="s">
        <v>13</v>
      </c>
      <c r="N88" s="11" t="s">
        <v>13</v>
      </c>
    </row>
    <row r="89" spans="1:14" x14ac:dyDescent="0.2">
      <c r="C89" s="8">
        <v>0</v>
      </c>
      <c r="D89" s="8">
        <v>1</v>
      </c>
      <c r="E89" s="6">
        <v>0</v>
      </c>
      <c r="F89" s="6">
        <v>1</v>
      </c>
      <c r="G89" s="9">
        <v>0</v>
      </c>
      <c r="H89" s="9">
        <v>1</v>
      </c>
      <c r="I89" s="14">
        <v>0</v>
      </c>
      <c r="J89" s="14">
        <v>0</v>
      </c>
      <c r="K89" s="10"/>
      <c r="L89" s="10"/>
      <c r="M89" s="11"/>
      <c r="N89" s="11"/>
    </row>
    <row r="90" spans="1:14" x14ac:dyDescent="0.2">
      <c r="C90" s="12" t="s">
        <v>16</v>
      </c>
      <c r="D90" s="12">
        <v>0</v>
      </c>
      <c r="E90" s="12" t="s">
        <v>16</v>
      </c>
      <c r="F90" s="12">
        <v>2</v>
      </c>
      <c r="G90" s="12" t="s">
        <v>16</v>
      </c>
      <c r="H90" s="12">
        <v>0</v>
      </c>
      <c r="I90" s="12" t="s">
        <v>16</v>
      </c>
      <c r="J90" s="12">
        <v>0</v>
      </c>
      <c r="K90" s="12" t="s">
        <v>16</v>
      </c>
      <c r="L90" s="12">
        <v>0</v>
      </c>
      <c r="M90" s="12" t="s">
        <v>16</v>
      </c>
      <c r="N90" s="12">
        <f>IF(AND(B87&gt;=10,B87&lt;=50),1,IF(AND(B87&gt;50,B87&lt;=100),2,IF(AND(B87&gt;100,B87&lt;=150),3,"")))</f>
        <v>2</v>
      </c>
    </row>
    <row r="91" spans="1:14" x14ac:dyDescent="0.2"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W87"/>
  <sheetViews>
    <sheetView rightToLeft="1" tabSelected="1" topLeftCell="F1" zoomScale="85" zoomScaleNormal="85" workbookViewId="0">
      <selection activeCell="O31" sqref="O31"/>
    </sheetView>
  </sheetViews>
  <sheetFormatPr defaultRowHeight="15" x14ac:dyDescent="0.2"/>
  <cols>
    <col min="4" max="4" width="11.97265625" customWidth="1"/>
    <col min="5" max="5" width="10.89453125" customWidth="1"/>
    <col min="6" max="6" width="13.5859375" customWidth="1"/>
    <col min="7" max="7" width="9.81640625" customWidth="1"/>
    <col min="10" max="10" width="6.1875" customWidth="1"/>
  </cols>
  <sheetData>
    <row r="1" spans="2:23" ht="15.75" thickBot="1" x14ac:dyDescent="0.25">
      <c r="B1" t="s">
        <v>6</v>
      </c>
      <c r="I1" s="3" t="s">
        <v>8</v>
      </c>
      <c r="O1" s="18"/>
      <c r="P1" s="19"/>
      <c r="Q1" s="19"/>
      <c r="R1" s="20"/>
    </row>
    <row r="2" spans="2:23" ht="16.5" thickTop="1" thickBot="1" x14ac:dyDescent="0.25">
      <c r="B2" s="5">
        <v>1</v>
      </c>
      <c r="C2" s="3" t="s">
        <v>12</v>
      </c>
      <c r="D2" s="3" t="s">
        <v>5</v>
      </c>
      <c r="E2" s="3" t="s">
        <v>10</v>
      </c>
      <c r="F2" s="3" t="s">
        <v>11</v>
      </c>
      <c r="G2" s="3" t="s">
        <v>10</v>
      </c>
      <c r="H2" s="3" t="s">
        <v>9</v>
      </c>
      <c r="I2" s="15">
        <f>'کابینت زمینی'!B2</f>
        <v>80</v>
      </c>
      <c r="J2" s="3" t="s">
        <v>19</v>
      </c>
      <c r="K2" s="3" t="s">
        <v>5</v>
      </c>
      <c r="L2" s="3" t="s">
        <v>11</v>
      </c>
      <c r="M2" s="3" t="s">
        <v>9</v>
      </c>
    </row>
    <row r="3" spans="2:23" ht="15.75" thickTop="1" x14ac:dyDescent="0.2">
      <c r="C3" s="1"/>
      <c r="D3" s="1">
        <f>'کابینت زمینی'!D5</f>
        <v>1</v>
      </c>
      <c r="E3" s="1">
        <f>'کابینت زمینی'!C4</f>
        <v>0</v>
      </c>
      <c r="F3" s="1">
        <f>'کابینت زمینی'!C2</f>
        <v>58</v>
      </c>
      <c r="G3" s="1">
        <f>'کابینت زمینی'!D4</f>
        <v>1</v>
      </c>
      <c r="H3" s="1">
        <f>'کابینت زمینی'!D2</f>
        <v>80</v>
      </c>
      <c r="I3" s="1" t="s">
        <v>17</v>
      </c>
      <c r="J3" s="4"/>
      <c r="K3" s="4">
        <f>'کابینت زمینی'!L5</f>
        <v>1</v>
      </c>
      <c r="L3" s="4">
        <f>'کابینت زمینی'!K2</f>
        <v>78.400000000000006</v>
      </c>
      <c r="M3" s="4">
        <f>'کابینت زمینی'!L2</f>
        <v>74.2</v>
      </c>
      <c r="O3" s="3" t="s">
        <v>9</v>
      </c>
      <c r="P3" s="3" t="s">
        <v>11</v>
      </c>
      <c r="Q3" s="3" t="s">
        <v>5</v>
      </c>
      <c r="R3" s="3" t="s">
        <v>24</v>
      </c>
      <c r="T3" s="3" t="s">
        <v>9</v>
      </c>
      <c r="U3" s="3" t="s">
        <v>11</v>
      </c>
      <c r="V3" s="3" t="s">
        <v>5</v>
      </c>
      <c r="W3" s="3" t="s">
        <v>24</v>
      </c>
    </row>
    <row r="4" spans="2:23" x14ac:dyDescent="0.2">
      <c r="C4" s="1"/>
      <c r="D4" s="1">
        <f>'کابینت زمینی'!F5</f>
        <v>2</v>
      </c>
      <c r="E4" s="1">
        <f>'کابینت زمینی'!E4</f>
        <v>0</v>
      </c>
      <c r="F4" s="1">
        <f>'کابینت زمینی'!E2</f>
        <v>58</v>
      </c>
      <c r="G4" s="1">
        <f>'کابینت زمینی'!F4</f>
        <v>1</v>
      </c>
      <c r="H4" s="1">
        <f>'کابینت زمینی'!F2</f>
        <v>73.400000000000006</v>
      </c>
      <c r="I4" s="1" t="s">
        <v>18</v>
      </c>
      <c r="O4" s="1">
        <f>H3</f>
        <v>80</v>
      </c>
      <c r="P4" s="1">
        <f>F3</f>
        <v>58</v>
      </c>
      <c r="Q4" s="1">
        <f>D3</f>
        <v>1</v>
      </c>
      <c r="R4" s="1" t="s">
        <v>25</v>
      </c>
      <c r="T4" s="1">
        <f>M3</f>
        <v>74.2</v>
      </c>
      <c r="U4" s="1">
        <f>L3</f>
        <v>78.400000000000006</v>
      </c>
      <c r="V4" s="1">
        <f>K3</f>
        <v>1</v>
      </c>
      <c r="W4" s="1" t="s">
        <v>26</v>
      </c>
    </row>
    <row r="5" spans="2:23" x14ac:dyDescent="0.2">
      <c r="C5" s="1"/>
      <c r="D5" s="1">
        <f>'کابینت زمینی'!H5</f>
        <v>1</v>
      </c>
      <c r="E5" s="1">
        <f>'کابینت زمینی'!G4</f>
        <v>0</v>
      </c>
      <c r="F5" s="1">
        <f>'کابینت زمینی'!G2</f>
        <v>55</v>
      </c>
      <c r="G5" s="1">
        <f>'کابینت زمینی'!H4</f>
        <v>1</v>
      </c>
      <c r="H5" s="1">
        <f>'کابینت زمینی'!H2</f>
        <v>76.8</v>
      </c>
      <c r="I5" s="1" t="s">
        <v>15</v>
      </c>
      <c r="O5" s="1">
        <f>H4</f>
        <v>73.400000000000006</v>
      </c>
      <c r="P5" s="1">
        <f>F4</f>
        <v>58</v>
      </c>
      <c r="Q5" s="1">
        <f>D4</f>
        <v>2</v>
      </c>
      <c r="R5" s="1" t="s">
        <v>25</v>
      </c>
      <c r="T5" s="1">
        <f>M11</f>
        <v>74.2</v>
      </c>
      <c r="U5" s="1">
        <f>L11</f>
        <v>98.4</v>
      </c>
      <c r="V5" s="1">
        <f>K11</f>
        <v>1</v>
      </c>
      <c r="W5" s="1" t="s">
        <v>26</v>
      </c>
    </row>
    <row r="6" spans="2:23" x14ac:dyDescent="0.2">
      <c r="C6" s="1"/>
      <c r="D6" s="1">
        <f>'کابینت زمینی'!J5</f>
        <v>1</v>
      </c>
      <c r="E6" s="1">
        <f>'کابینت زمینی'!I4</f>
        <v>0</v>
      </c>
      <c r="F6" s="1">
        <f>'کابینت زمینی'!I2</f>
        <v>7</v>
      </c>
      <c r="G6" s="1">
        <f>'کابینت زمینی'!J4</f>
        <v>0</v>
      </c>
      <c r="H6" s="1">
        <f>'کابینت زمینی'!J2</f>
        <v>76.8</v>
      </c>
      <c r="I6" s="1" t="s">
        <v>14</v>
      </c>
      <c r="O6" s="1">
        <f>H5</f>
        <v>76.8</v>
      </c>
      <c r="P6" s="1">
        <f>F5</f>
        <v>55</v>
      </c>
      <c r="Q6" s="1">
        <f>D5</f>
        <v>1</v>
      </c>
      <c r="R6" s="1" t="s">
        <v>25</v>
      </c>
      <c r="T6" s="1">
        <f>M19</f>
        <v>74.2</v>
      </c>
      <c r="U6" s="1">
        <f>L19</f>
        <v>96.4</v>
      </c>
      <c r="V6" s="1">
        <f>K19</f>
        <v>1</v>
      </c>
      <c r="W6" s="1" t="s">
        <v>26</v>
      </c>
    </row>
    <row r="7" spans="2:23" x14ac:dyDescent="0.2">
      <c r="O7" s="1">
        <f>H6</f>
        <v>76.8</v>
      </c>
      <c r="P7" s="1">
        <f>F6</f>
        <v>7</v>
      </c>
      <c r="Q7" s="1">
        <f>D6</f>
        <v>1</v>
      </c>
      <c r="R7" s="1" t="s">
        <v>25</v>
      </c>
      <c r="T7" s="1">
        <f>M27</f>
        <v>74.2</v>
      </c>
      <c r="U7" s="1">
        <f>L27</f>
        <v>98.4</v>
      </c>
      <c r="V7" s="1">
        <f>K27</f>
        <v>1</v>
      </c>
      <c r="W7" s="1" t="s">
        <v>26</v>
      </c>
    </row>
    <row r="8" spans="2:23" x14ac:dyDescent="0.2">
      <c r="O8" s="1">
        <f>H11</f>
        <v>100</v>
      </c>
      <c r="P8" s="1">
        <f>F11</f>
        <v>58</v>
      </c>
      <c r="Q8" s="1">
        <f>D11</f>
        <v>1</v>
      </c>
      <c r="R8" s="1" t="s">
        <v>25</v>
      </c>
      <c r="T8" s="1">
        <f>M35</f>
        <v>74.2</v>
      </c>
      <c r="U8" s="1">
        <f>L35</f>
        <v>96.4</v>
      </c>
      <c r="V8" s="1">
        <f>K35</f>
        <v>1</v>
      </c>
      <c r="W8" s="1" t="s">
        <v>26</v>
      </c>
    </row>
    <row r="9" spans="2:23" ht="15.75" thickBot="1" x14ac:dyDescent="0.25">
      <c r="I9" s="3" t="s">
        <v>8</v>
      </c>
      <c r="O9" s="1">
        <f>H12</f>
        <v>73.400000000000006</v>
      </c>
      <c r="P9" s="1">
        <f>F12</f>
        <v>58</v>
      </c>
      <c r="Q9" s="1">
        <f>D12</f>
        <v>2</v>
      </c>
      <c r="R9" s="1" t="s">
        <v>25</v>
      </c>
      <c r="T9" s="1">
        <f>M43</f>
        <v>74.2</v>
      </c>
      <c r="U9" s="1">
        <f>L43</f>
        <v>96.4</v>
      </c>
      <c r="V9" s="1">
        <f>K43</f>
        <v>1</v>
      </c>
      <c r="W9" s="1" t="s">
        <v>26</v>
      </c>
    </row>
    <row r="10" spans="2:23" ht="16.5" thickTop="1" thickBot="1" x14ac:dyDescent="0.25">
      <c r="B10" s="5">
        <v>2</v>
      </c>
      <c r="C10" s="3" t="s">
        <v>12</v>
      </c>
      <c r="D10" s="3" t="s">
        <v>5</v>
      </c>
      <c r="E10" s="3" t="s">
        <v>10</v>
      </c>
      <c r="F10" s="3" t="s">
        <v>11</v>
      </c>
      <c r="G10" s="3" t="s">
        <v>10</v>
      </c>
      <c r="H10" s="3" t="s">
        <v>9</v>
      </c>
      <c r="I10" s="15">
        <f>'کابینت زمینی'!B12</f>
        <v>100</v>
      </c>
      <c r="J10" s="3" t="s">
        <v>19</v>
      </c>
      <c r="K10" s="3" t="s">
        <v>5</v>
      </c>
      <c r="L10" s="3" t="s">
        <v>11</v>
      </c>
      <c r="M10" s="3" t="s">
        <v>9</v>
      </c>
      <c r="O10" s="1">
        <f>H13</f>
        <v>96.8</v>
      </c>
      <c r="P10" s="1">
        <f>F13</f>
        <v>55</v>
      </c>
      <c r="Q10" s="1">
        <f>D13</f>
        <v>1</v>
      </c>
      <c r="R10" s="1" t="s">
        <v>25</v>
      </c>
      <c r="T10" s="1">
        <f>M51</f>
        <v>74.2</v>
      </c>
      <c r="U10" s="1">
        <f>L51</f>
        <v>28.4</v>
      </c>
      <c r="V10" s="1">
        <f>K51</f>
        <v>1</v>
      </c>
      <c r="W10" s="1" t="s">
        <v>26</v>
      </c>
    </row>
    <row r="11" spans="2:23" ht="15.75" thickTop="1" x14ac:dyDescent="0.2">
      <c r="C11" s="1"/>
      <c r="D11" s="1">
        <f>'کابینت زمینی'!D15</f>
        <v>1</v>
      </c>
      <c r="E11" s="1">
        <f>'کابینت زمینی'!C14</f>
        <v>0</v>
      </c>
      <c r="F11" s="1">
        <f>'کابینت زمینی'!C12</f>
        <v>58</v>
      </c>
      <c r="G11" s="1">
        <f>'کابینت زمینی'!D14</f>
        <v>1</v>
      </c>
      <c r="H11" s="1">
        <f>'کابینت زمینی'!D12</f>
        <v>100</v>
      </c>
      <c r="I11" s="1" t="s">
        <v>17</v>
      </c>
      <c r="J11" s="4"/>
      <c r="K11" s="4">
        <f>'کابینت زمینی'!L15</f>
        <v>1</v>
      </c>
      <c r="L11" s="4">
        <f>'کابینت زمینی'!K12</f>
        <v>98.4</v>
      </c>
      <c r="M11" s="4">
        <f>'کابینت زمینی'!L12</f>
        <v>74.2</v>
      </c>
      <c r="O11" s="1">
        <f>H14</f>
        <v>96.8</v>
      </c>
      <c r="P11" s="1">
        <f>F14</f>
        <v>7</v>
      </c>
      <c r="Q11" s="1">
        <f>D14</f>
        <v>1</v>
      </c>
      <c r="R11" s="1" t="s">
        <v>25</v>
      </c>
      <c r="T11" s="1">
        <f>M60</f>
        <v>74.2</v>
      </c>
      <c r="U11" s="1">
        <f>L60</f>
        <v>96.4</v>
      </c>
      <c r="V11" s="1">
        <f>K60</f>
        <v>1</v>
      </c>
      <c r="W11" s="1" t="s">
        <v>26</v>
      </c>
    </row>
    <row r="12" spans="2:23" x14ac:dyDescent="0.2">
      <c r="C12" s="1"/>
      <c r="D12" s="1">
        <f>'کابینت زمینی'!F15</f>
        <v>2</v>
      </c>
      <c r="E12" s="1">
        <f>'کابینت زمینی'!E14</f>
        <v>0</v>
      </c>
      <c r="F12" s="1">
        <f>'کابینت زمینی'!E12</f>
        <v>58</v>
      </c>
      <c r="G12" s="1">
        <f>'کابینت زمینی'!F14</f>
        <v>1</v>
      </c>
      <c r="H12" s="1">
        <f>'کابینت زمینی'!F12</f>
        <v>73.400000000000006</v>
      </c>
      <c r="I12" s="1" t="s">
        <v>18</v>
      </c>
      <c r="O12" s="1">
        <f>H19</f>
        <v>98</v>
      </c>
      <c r="P12" s="1">
        <f>F19</f>
        <v>58</v>
      </c>
      <c r="Q12" s="1">
        <f>D19</f>
        <v>1</v>
      </c>
      <c r="R12" s="1" t="s">
        <v>25</v>
      </c>
      <c r="T12" s="1">
        <f>M68</f>
        <v>74.2</v>
      </c>
      <c r="U12" s="1">
        <f>L68</f>
        <v>96.4</v>
      </c>
      <c r="V12" s="1">
        <f>K68</f>
        <v>1</v>
      </c>
      <c r="W12" s="1" t="s">
        <v>26</v>
      </c>
    </row>
    <row r="13" spans="2:23" x14ac:dyDescent="0.2">
      <c r="C13" s="1"/>
      <c r="D13" s="1">
        <f>'کابینت زمینی'!H15</f>
        <v>1</v>
      </c>
      <c r="E13" s="1">
        <f>'کابینت زمینی'!G14</f>
        <v>0</v>
      </c>
      <c r="F13" s="1">
        <f>'کابینت زمینی'!G12</f>
        <v>55</v>
      </c>
      <c r="G13" s="1">
        <f>'کابینت زمینی'!H14</f>
        <v>1</v>
      </c>
      <c r="H13" s="1">
        <f>'کابینت زمینی'!H12</f>
        <v>96.8</v>
      </c>
      <c r="I13" s="1" t="s">
        <v>15</v>
      </c>
      <c r="O13" s="1">
        <f>H20</f>
        <v>73.400000000000006</v>
      </c>
      <c r="P13" s="1">
        <f>F20</f>
        <v>58</v>
      </c>
      <c r="Q13" s="1">
        <f>D19</f>
        <v>1</v>
      </c>
      <c r="R13" s="1" t="s">
        <v>25</v>
      </c>
      <c r="T13" s="1">
        <f>M76</f>
        <v>74.2</v>
      </c>
      <c r="U13" s="1">
        <f>L76</f>
        <v>98.4</v>
      </c>
      <c r="V13" s="1">
        <f>K76</f>
        <v>0</v>
      </c>
      <c r="W13" s="1" t="s">
        <v>26</v>
      </c>
    </row>
    <row r="14" spans="2:23" x14ac:dyDescent="0.2">
      <c r="C14" s="1"/>
      <c r="D14" s="1">
        <f>'کابینت زمینی'!J15</f>
        <v>1</v>
      </c>
      <c r="E14" s="1">
        <f>'کابینت زمینی'!I14</f>
        <v>0</v>
      </c>
      <c r="F14" s="1">
        <f>'کابینت زمینی'!I12</f>
        <v>7</v>
      </c>
      <c r="G14" s="1">
        <f>'کابینت زمینی'!J14</f>
        <v>0</v>
      </c>
      <c r="H14" s="1">
        <f>'کابینت زمینی'!J12</f>
        <v>96.8</v>
      </c>
      <c r="I14" s="1" t="s">
        <v>14</v>
      </c>
      <c r="O14" s="1">
        <f>H21</f>
        <v>94.8</v>
      </c>
      <c r="P14" s="1">
        <f>F21</f>
        <v>55</v>
      </c>
      <c r="Q14" s="1">
        <f>D21</f>
        <v>1</v>
      </c>
      <c r="R14" s="1" t="s">
        <v>25</v>
      </c>
      <c r="T14" s="1">
        <f>M84</f>
        <v>74.2</v>
      </c>
      <c r="U14" s="1">
        <f>L84</f>
        <v>96.4</v>
      </c>
      <c r="V14" s="1">
        <f>K84</f>
        <v>0</v>
      </c>
      <c r="W14" s="1" t="s">
        <v>26</v>
      </c>
    </row>
    <row r="15" spans="2:23" x14ac:dyDescent="0.2">
      <c r="O15" s="1">
        <f>H22</f>
        <v>94.8</v>
      </c>
      <c r="P15" s="1">
        <f>F22</f>
        <v>7</v>
      </c>
      <c r="Q15" s="1">
        <f>D22</f>
        <v>1</v>
      </c>
      <c r="R15" s="1" t="s">
        <v>25</v>
      </c>
    </row>
    <row r="16" spans="2:23" x14ac:dyDescent="0.2">
      <c r="O16" s="1">
        <f>H27</f>
        <v>100</v>
      </c>
      <c r="P16" s="1">
        <f>F27</f>
        <v>58</v>
      </c>
      <c r="Q16" s="1">
        <f>D27</f>
        <v>1</v>
      </c>
      <c r="R16" s="1" t="s">
        <v>25</v>
      </c>
    </row>
    <row r="17" spans="2:23" ht="15.75" thickBot="1" x14ac:dyDescent="0.25">
      <c r="I17" s="3" t="s">
        <v>8</v>
      </c>
      <c r="O17" s="1">
        <f>H28</f>
        <v>73.400000000000006</v>
      </c>
      <c r="P17" s="1">
        <f>F28</f>
        <v>58</v>
      </c>
      <c r="Q17" s="1">
        <f>D28</f>
        <v>2</v>
      </c>
      <c r="R17" s="1" t="s">
        <v>25</v>
      </c>
    </row>
    <row r="18" spans="2:23" ht="16.5" thickTop="1" thickBot="1" x14ac:dyDescent="0.25">
      <c r="B18" s="5">
        <v>3</v>
      </c>
      <c r="C18" s="3" t="s">
        <v>12</v>
      </c>
      <c r="D18" s="3" t="s">
        <v>5</v>
      </c>
      <c r="E18" s="3" t="s">
        <v>10</v>
      </c>
      <c r="F18" s="3" t="s">
        <v>11</v>
      </c>
      <c r="G18" s="3" t="s">
        <v>10</v>
      </c>
      <c r="H18" s="3" t="s">
        <v>9</v>
      </c>
      <c r="I18" s="15">
        <f>'کابینت زمینی'!B21</f>
        <v>98</v>
      </c>
      <c r="J18" s="3" t="s">
        <v>19</v>
      </c>
      <c r="K18" s="3" t="s">
        <v>5</v>
      </c>
      <c r="L18" s="3" t="s">
        <v>11</v>
      </c>
      <c r="M18" s="3" t="s">
        <v>9</v>
      </c>
      <c r="O18" s="1">
        <f>H29</f>
        <v>96.8</v>
      </c>
      <c r="P18" s="1">
        <f>F29</f>
        <v>55</v>
      </c>
      <c r="Q18" s="1">
        <f>D29</f>
        <v>1</v>
      </c>
      <c r="R18" s="1" t="s">
        <v>25</v>
      </c>
    </row>
    <row r="19" spans="2:23" ht="15.75" thickTop="1" x14ac:dyDescent="0.2">
      <c r="C19" s="1"/>
      <c r="D19" s="1">
        <f>'کابینت زمینی'!D24</f>
        <v>1</v>
      </c>
      <c r="E19" s="1">
        <f>'کابینت زمینی'!C23</f>
        <v>0</v>
      </c>
      <c r="F19" s="1">
        <f>'کابینت زمینی'!C21</f>
        <v>58</v>
      </c>
      <c r="G19" s="1">
        <f>'کابینت زمینی'!D23</f>
        <v>1</v>
      </c>
      <c r="H19" s="1">
        <f>'کابینت زمینی'!D21</f>
        <v>98</v>
      </c>
      <c r="I19" s="1" t="s">
        <v>17</v>
      </c>
      <c r="J19" s="4"/>
      <c r="K19" s="4">
        <f>'کابینت زمینی'!L24</f>
        <v>1</v>
      </c>
      <c r="L19" s="4">
        <f>'کابینت زمینی'!K21</f>
        <v>96.4</v>
      </c>
      <c r="M19" s="4">
        <f>'کابینت زمینی'!L21</f>
        <v>74.2</v>
      </c>
      <c r="O19" s="1">
        <f>H30</f>
        <v>96.8</v>
      </c>
      <c r="P19" s="1">
        <f>F30</f>
        <v>7</v>
      </c>
      <c r="Q19" s="1">
        <f>D30</f>
        <v>1</v>
      </c>
      <c r="R19" s="1" t="s">
        <v>25</v>
      </c>
    </row>
    <row r="20" spans="2:23" x14ac:dyDescent="0.2">
      <c r="C20" s="1"/>
      <c r="D20" s="1">
        <f>'کابینت زمینی'!F24</f>
        <v>2</v>
      </c>
      <c r="E20" s="1">
        <f>'کابینت زمینی'!E23</f>
        <v>0</v>
      </c>
      <c r="F20" s="1">
        <f>'کابینت زمینی'!E21</f>
        <v>58</v>
      </c>
      <c r="G20" s="1">
        <f>'کابینت زمینی'!F23</f>
        <v>1</v>
      </c>
      <c r="H20" s="1">
        <f>'کابینت زمینی'!F21</f>
        <v>73.400000000000006</v>
      </c>
      <c r="I20" s="1" t="s">
        <v>18</v>
      </c>
      <c r="O20" s="1">
        <f>H35</f>
        <v>98</v>
      </c>
      <c r="P20" s="1">
        <f>F35</f>
        <v>58</v>
      </c>
      <c r="Q20" s="1">
        <f>D35</f>
        <v>1</v>
      </c>
      <c r="R20" s="1" t="s">
        <v>25</v>
      </c>
    </row>
    <row r="21" spans="2:23" x14ac:dyDescent="0.2">
      <c r="C21" s="1"/>
      <c r="D21" s="1">
        <f>'کابینت زمینی'!H24</f>
        <v>1</v>
      </c>
      <c r="E21" s="1">
        <f>'کابینت زمینی'!G23</f>
        <v>0</v>
      </c>
      <c r="F21" s="1">
        <f>'کابینت زمینی'!G21</f>
        <v>55</v>
      </c>
      <c r="G21" s="1">
        <f>'کابینت زمینی'!H23</f>
        <v>1</v>
      </c>
      <c r="H21" s="1">
        <f>'کابینت زمینی'!H21</f>
        <v>94.8</v>
      </c>
      <c r="I21" s="1" t="s">
        <v>15</v>
      </c>
      <c r="O21" s="1">
        <f>H36</f>
        <v>73.400000000000006</v>
      </c>
      <c r="P21" s="1">
        <f>F36</f>
        <v>58</v>
      </c>
      <c r="Q21" s="1">
        <f>D36</f>
        <v>2</v>
      </c>
      <c r="R21" s="1" t="s">
        <v>25</v>
      </c>
      <c r="T21" s="3" t="s">
        <v>9</v>
      </c>
      <c r="U21" s="3" t="s">
        <v>11</v>
      </c>
      <c r="V21" s="3" t="s">
        <v>5</v>
      </c>
      <c r="W21" s="3" t="s">
        <v>24</v>
      </c>
    </row>
    <row r="22" spans="2:23" x14ac:dyDescent="0.2">
      <c r="C22" s="1"/>
      <c r="D22" s="1">
        <f>'کابینت زمینی'!J24</f>
        <v>1</v>
      </c>
      <c r="E22" s="1">
        <f>'کابینت زمینی'!I23</f>
        <v>0</v>
      </c>
      <c r="F22" s="1">
        <f>'کابینت زمینی'!I21</f>
        <v>7</v>
      </c>
      <c r="G22" s="1">
        <f>'کابینت زمینی'!J23</f>
        <v>0</v>
      </c>
      <c r="H22" s="1">
        <f>'کابینت زمینی'!J21</f>
        <v>94.8</v>
      </c>
      <c r="I22" s="1" t="s">
        <v>14</v>
      </c>
      <c r="O22" s="1">
        <f>H37</f>
        <v>94.8</v>
      </c>
      <c r="P22" s="1">
        <f>F37</f>
        <v>55</v>
      </c>
      <c r="Q22" s="1">
        <f>D37</f>
        <v>1</v>
      </c>
      <c r="R22" s="1" t="s">
        <v>25</v>
      </c>
      <c r="T22" s="1">
        <f>'کابینت زمینی'!N2</f>
        <v>73.400000000000006</v>
      </c>
      <c r="U22" s="1">
        <f>'کابینت زمینی'!M2</f>
        <v>39.799999999999997</v>
      </c>
      <c r="V22" s="1">
        <f>'کابینت زمینی'!N5</f>
        <v>2</v>
      </c>
      <c r="W22" s="1"/>
    </row>
    <row r="23" spans="2:23" x14ac:dyDescent="0.2">
      <c r="O23" s="1">
        <f>H38</f>
        <v>94.8</v>
      </c>
      <c r="P23" s="1">
        <f>F38</f>
        <v>7</v>
      </c>
      <c r="Q23" s="1">
        <f>D38</f>
        <v>1</v>
      </c>
      <c r="R23" s="1" t="s">
        <v>25</v>
      </c>
      <c r="T23" s="1">
        <f>'کابینت زمینی'!N12</f>
        <v>73.400000000000006</v>
      </c>
      <c r="U23" s="1">
        <f>'کابینت زمینی'!M12</f>
        <v>49.8</v>
      </c>
      <c r="V23" s="1">
        <f>'کابینت زمینی'!N15</f>
        <v>2</v>
      </c>
      <c r="W23" s="1"/>
    </row>
    <row r="24" spans="2:23" x14ac:dyDescent="0.2">
      <c r="O24" s="1">
        <f>H43</f>
        <v>98</v>
      </c>
      <c r="P24" s="1">
        <f>F43</f>
        <v>58</v>
      </c>
      <c r="Q24" s="1">
        <f>D43</f>
        <v>1</v>
      </c>
      <c r="R24" s="1" t="s">
        <v>25</v>
      </c>
      <c r="T24" s="1">
        <f>'کابینت زمینی'!N21</f>
        <v>73.400000000000006</v>
      </c>
      <c r="U24" s="1">
        <f>'کابینت زمینی'!M21</f>
        <v>48.8</v>
      </c>
      <c r="V24" s="1">
        <f>'کابینت زمینی'!N24</f>
        <v>2</v>
      </c>
      <c r="W24" s="1"/>
    </row>
    <row r="25" spans="2:23" ht="15.75" thickBot="1" x14ac:dyDescent="0.25">
      <c r="I25" s="3" t="s">
        <v>8</v>
      </c>
      <c r="O25" s="1">
        <f>H44</f>
        <v>73.400000000000006</v>
      </c>
      <c r="P25" s="1">
        <f>F44</f>
        <v>58</v>
      </c>
      <c r="Q25" s="1">
        <f>D44</f>
        <v>2</v>
      </c>
      <c r="R25" s="1" t="s">
        <v>25</v>
      </c>
      <c r="T25" s="1">
        <f>'کابینت زمینی'!N31</f>
        <v>73.400000000000006</v>
      </c>
      <c r="U25" s="1">
        <f>'کابینت زمینی'!M31</f>
        <v>49.8</v>
      </c>
      <c r="V25" s="1">
        <f>'کابینت زمینی'!N34</f>
        <v>2</v>
      </c>
      <c r="W25" s="1"/>
    </row>
    <row r="26" spans="2:23" ht="16.5" thickTop="1" thickBot="1" x14ac:dyDescent="0.25">
      <c r="B26" s="5">
        <v>4</v>
      </c>
      <c r="C26" s="3" t="s">
        <v>12</v>
      </c>
      <c r="D26" s="3" t="s">
        <v>5</v>
      </c>
      <c r="E26" s="3" t="s">
        <v>10</v>
      </c>
      <c r="F26" s="3" t="s">
        <v>11</v>
      </c>
      <c r="G26" s="3" t="s">
        <v>10</v>
      </c>
      <c r="H26" s="3" t="s">
        <v>9</v>
      </c>
      <c r="I26" s="15">
        <f>'کابینت زمینی'!B31</f>
        <v>100</v>
      </c>
      <c r="J26" s="3" t="s">
        <v>19</v>
      </c>
      <c r="K26" s="3" t="s">
        <v>5</v>
      </c>
      <c r="L26" s="3" t="s">
        <v>11</v>
      </c>
      <c r="M26" s="3" t="s">
        <v>9</v>
      </c>
      <c r="O26" s="1">
        <f>H45</f>
        <v>94.8</v>
      </c>
      <c r="P26" s="1">
        <f>F45</f>
        <v>55</v>
      </c>
      <c r="Q26" s="1">
        <f>D45</f>
        <v>1</v>
      </c>
      <c r="R26" s="1" t="s">
        <v>25</v>
      </c>
      <c r="T26" s="1">
        <f>'کابینت زمینی'!N39</f>
        <v>73.400000000000006</v>
      </c>
      <c r="U26" s="1">
        <f>'کابینت زمینی'!M39</f>
        <v>48.8</v>
      </c>
      <c r="V26" s="1">
        <f>'کابینت زمینی'!N42</f>
        <v>2</v>
      </c>
      <c r="W26" s="1"/>
    </row>
    <row r="27" spans="2:23" ht="15.75" thickTop="1" x14ac:dyDescent="0.2">
      <c r="C27" s="1"/>
      <c r="D27" s="1">
        <f>'کابینت زمینی'!D34</f>
        <v>1</v>
      </c>
      <c r="E27" s="1">
        <f>'کابینت زمینی'!C33</f>
        <v>0</v>
      </c>
      <c r="F27" s="1">
        <f>'کابینت زمینی'!C31</f>
        <v>58</v>
      </c>
      <c r="G27" s="1">
        <f>'کابینت زمینی'!D33</f>
        <v>1</v>
      </c>
      <c r="H27" s="1">
        <f>'کابینت زمینی'!D31</f>
        <v>100</v>
      </c>
      <c r="I27" s="1" t="s">
        <v>17</v>
      </c>
      <c r="J27" s="4"/>
      <c r="K27" s="4">
        <f>'کابینت زمینی'!L34</f>
        <v>1</v>
      </c>
      <c r="L27" s="4">
        <f>'کابینت زمینی'!K31</f>
        <v>98.4</v>
      </c>
      <c r="M27" s="4">
        <f>'کابینت زمینی'!L31</f>
        <v>74.2</v>
      </c>
      <c r="O27" s="1">
        <f>H46</f>
        <v>94.8</v>
      </c>
      <c r="P27" s="1">
        <f>F46</f>
        <v>7</v>
      </c>
      <c r="Q27" s="1">
        <f>D46</f>
        <v>1</v>
      </c>
      <c r="R27" s="1" t="s">
        <v>25</v>
      </c>
      <c r="T27" s="1">
        <f>'کابینت زمینی'!N47</f>
        <v>73.400000000000006</v>
      </c>
      <c r="U27" s="1">
        <f>'کابینت زمینی'!M47</f>
        <v>48.8</v>
      </c>
      <c r="V27" s="1">
        <f>'کابینت زمینی'!N50</f>
        <v>2</v>
      </c>
      <c r="W27" s="1"/>
    </row>
    <row r="28" spans="2:23" x14ac:dyDescent="0.2">
      <c r="C28" s="1"/>
      <c r="D28" s="1">
        <f>'کابینت زمینی'!F34</f>
        <v>2</v>
      </c>
      <c r="E28" s="1">
        <f>'کابینت زمینی'!E33</f>
        <v>0</v>
      </c>
      <c r="F28" s="1">
        <f>'کابینت زمینی'!E31</f>
        <v>58</v>
      </c>
      <c r="G28" s="1">
        <f>'کابینت زمینی'!F33</f>
        <v>1</v>
      </c>
      <c r="H28" s="1">
        <f>'کابینت زمینی'!F31</f>
        <v>73.400000000000006</v>
      </c>
      <c r="I28" s="1" t="s">
        <v>18</v>
      </c>
      <c r="O28" s="1">
        <f>H51</f>
        <v>30</v>
      </c>
      <c r="P28" s="1">
        <f>F51</f>
        <v>58</v>
      </c>
      <c r="Q28" s="1">
        <f>D51</f>
        <v>1</v>
      </c>
      <c r="R28" s="1" t="s">
        <v>25</v>
      </c>
      <c r="T28" s="1">
        <f>'کابینت زمینی'!N55</f>
        <v>73.400000000000006</v>
      </c>
      <c r="U28" s="1">
        <f>'کابینت زمینی'!M55</f>
        <v>29.8</v>
      </c>
      <c r="V28" s="1">
        <f>'کابینت زمینی'!N58</f>
        <v>1</v>
      </c>
      <c r="W28" s="1"/>
    </row>
    <row r="29" spans="2:23" x14ac:dyDescent="0.2">
      <c r="C29" s="1"/>
      <c r="D29" s="1">
        <f>'کابینت زمینی'!H34</f>
        <v>1</v>
      </c>
      <c r="E29" s="1">
        <f>'کابینت زمینی'!G33</f>
        <v>0</v>
      </c>
      <c r="F29" s="1">
        <f>'کابینت زمینی'!G31</f>
        <v>55</v>
      </c>
      <c r="G29" s="1">
        <f>'کابینت زمینی'!H33</f>
        <v>1</v>
      </c>
      <c r="H29" s="1">
        <f>'کابینت زمینی'!H31</f>
        <v>96.8</v>
      </c>
      <c r="I29" s="1" t="s">
        <v>15</v>
      </c>
      <c r="O29" s="1">
        <f>H52</f>
        <v>73.400000000000006</v>
      </c>
      <c r="P29" s="1">
        <f>F52</f>
        <v>58</v>
      </c>
      <c r="Q29" s="1">
        <f>D52</f>
        <v>2</v>
      </c>
      <c r="R29" s="1" t="s">
        <v>25</v>
      </c>
      <c r="T29" s="1">
        <f>'کابینت زمینی'!N63</f>
        <v>73.400000000000006</v>
      </c>
      <c r="U29" s="1">
        <f>'کابینت زمینی'!M63</f>
        <v>48.8</v>
      </c>
      <c r="V29" s="1">
        <f>'کابینت زمینی'!N66</f>
        <v>2</v>
      </c>
      <c r="W29" s="1"/>
    </row>
    <row r="30" spans="2:23" x14ac:dyDescent="0.2">
      <c r="C30" s="1"/>
      <c r="D30" s="1">
        <f>'کابینت زمینی'!J34</f>
        <v>1</v>
      </c>
      <c r="E30" s="1">
        <f>'کابینت زمینی'!I33</f>
        <v>0</v>
      </c>
      <c r="F30" s="1">
        <f>'کابینت زمینی'!I31</f>
        <v>7</v>
      </c>
      <c r="G30" s="1">
        <f>'کابینت زمینی'!J33</f>
        <v>0</v>
      </c>
      <c r="H30" s="1">
        <f>'کابینت زمینی'!J31</f>
        <v>96.8</v>
      </c>
      <c r="I30" s="1" t="s">
        <v>14</v>
      </c>
      <c r="O30" s="1">
        <f>H53</f>
        <v>26.8</v>
      </c>
      <c r="P30" s="1">
        <f>F53</f>
        <v>55</v>
      </c>
      <c r="Q30" s="1">
        <f>D53</f>
        <v>1</v>
      </c>
      <c r="R30" s="1" t="s">
        <v>25</v>
      </c>
      <c r="T30" s="1">
        <f>'کابینت زمینی'!N71</f>
        <v>73.400000000000006</v>
      </c>
      <c r="U30" s="1">
        <f>'کابینت زمینی'!M71</f>
        <v>48.8</v>
      </c>
      <c r="V30" s="1">
        <f>'کابینت زمینی'!N74</f>
        <v>2</v>
      </c>
      <c r="W30" s="1"/>
    </row>
    <row r="31" spans="2:23" x14ac:dyDescent="0.2">
      <c r="O31" s="1">
        <f>H54</f>
        <v>26.8</v>
      </c>
      <c r="P31" s="1">
        <f>F54</f>
        <v>7</v>
      </c>
      <c r="Q31" s="1">
        <f>D54</f>
        <v>1</v>
      </c>
      <c r="R31" s="1" t="s">
        <v>25</v>
      </c>
      <c r="T31" s="1">
        <f>'کابینت زمینی'!N79</f>
        <v>73.400000000000006</v>
      </c>
      <c r="U31" s="1">
        <f>'کابینت زمینی'!M79</f>
        <v>49.8</v>
      </c>
      <c r="V31" s="1">
        <f>'کابینت زمینی'!N82</f>
        <v>2</v>
      </c>
      <c r="W31" s="1"/>
    </row>
    <row r="32" spans="2:23" x14ac:dyDescent="0.2">
      <c r="O32" s="1">
        <f>H60</f>
        <v>98</v>
      </c>
      <c r="P32" s="1">
        <f>F60</f>
        <v>58</v>
      </c>
      <c r="Q32" s="1">
        <f>D60</f>
        <v>1</v>
      </c>
      <c r="R32" s="1" t="s">
        <v>25</v>
      </c>
      <c r="T32" s="1">
        <f>'کابینت زمینی'!N87</f>
        <v>73.400000000000006</v>
      </c>
      <c r="U32" s="1">
        <f>'کابینت زمینی'!M87</f>
        <v>48.8</v>
      </c>
      <c r="V32" s="1">
        <f>'کابینت زمینی'!N90</f>
        <v>2</v>
      </c>
      <c r="W32" s="1"/>
    </row>
    <row r="33" spans="2:18" ht="15.75" thickBot="1" x14ac:dyDescent="0.25">
      <c r="I33" s="3" t="s">
        <v>8</v>
      </c>
      <c r="O33" s="1">
        <f>H61</f>
        <v>73.400000000000006</v>
      </c>
      <c r="P33" s="1">
        <f>F61</f>
        <v>58</v>
      </c>
      <c r="Q33" s="1">
        <f>D61</f>
        <v>2</v>
      </c>
      <c r="R33" s="1" t="s">
        <v>25</v>
      </c>
    </row>
    <row r="34" spans="2:18" ht="16.5" thickTop="1" thickBot="1" x14ac:dyDescent="0.25">
      <c r="B34" s="5">
        <v>5</v>
      </c>
      <c r="C34" s="3" t="s">
        <v>12</v>
      </c>
      <c r="D34" s="3" t="s">
        <v>5</v>
      </c>
      <c r="E34" s="3" t="s">
        <v>10</v>
      </c>
      <c r="F34" s="3" t="s">
        <v>11</v>
      </c>
      <c r="G34" s="3" t="s">
        <v>10</v>
      </c>
      <c r="H34" s="3" t="s">
        <v>9</v>
      </c>
      <c r="I34" s="15">
        <f>'کابینت زمینی'!B39</f>
        <v>98</v>
      </c>
      <c r="J34" s="3" t="s">
        <v>19</v>
      </c>
      <c r="K34" s="3" t="s">
        <v>5</v>
      </c>
      <c r="L34" s="3" t="s">
        <v>11</v>
      </c>
      <c r="M34" s="3" t="s">
        <v>9</v>
      </c>
      <c r="O34" s="1">
        <f>H45</f>
        <v>94.8</v>
      </c>
      <c r="P34" s="1">
        <f>F45</f>
        <v>55</v>
      </c>
      <c r="Q34" s="1">
        <f>D45</f>
        <v>1</v>
      </c>
      <c r="R34" s="1" t="s">
        <v>25</v>
      </c>
    </row>
    <row r="35" spans="2:18" ht="15.75" thickTop="1" x14ac:dyDescent="0.2">
      <c r="C35" s="1"/>
      <c r="D35" s="1">
        <f>'کابینت زمینی'!D42</f>
        <v>1</v>
      </c>
      <c r="E35" s="1">
        <f>'کابینت زمینی'!C41</f>
        <v>0</v>
      </c>
      <c r="F35" s="1">
        <f>'کابینت زمینی'!C39</f>
        <v>58</v>
      </c>
      <c r="G35" s="1">
        <f>'کابینت زمینی'!D41</f>
        <v>1</v>
      </c>
      <c r="H35" s="1">
        <f>'کابینت زمینی'!D39</f>
        <v>98</v>
      </c>
      <c r="I35" s="1" t="s">
        <v>17</v>
      </c>
      <c r="J35" s="4"/>
      <c r="K35" s="4">
        <f>'کابینت زمینی'!L42</f>
        <v>1</v>
      </c>
      <c r="L35" s="4">
        <f>'کابینت زمینی'!K39</f>
        <v>96.4</v>
      </c>
      <c r="M35" s="4">
        <f>'کابینت زمینی'!L39</f>
        <v>74.2</v>
      </c>
      <c r="O35" s="1">
        <f>H46</f>
        <v>94.8</v>
      </c>
      <c r="P35" s="1">
        <f>F46</f>
        <v>7</v>
      </c>
      <c r="Q35" s="1">
        <f>D46</f>
        <v>1</v>
      </c>
      <c r="R35" s="1" t="s">
        <v>25</v>
      </c>
    </row>
    <row r="36" spans="2:18" x14ac:dyDescent="0.2">
      <c r="C36" s="1"/>
      <c r="D36" s="1">
        <f>'کابینت زمینی'!F42</f>
        <v>2</v>
      </c>
      <c r="E36" s="1">
        <f>'کابینت زمینی'!E41</f>
        <v>0</v>
      </c>
      <c r="F36" s="1">
        <f>'کابینت زمینی'!E39</f>
        <v>58</v>
      </c>
      <c r="G36" s="1">
        <f>'کابینت زمینی'!F41</f>
        <v>1</v>
      </c>
      <c r="H36" s="1">
        <f>'کابینت زمینی'!F39</f>
        <v>73.400000000000006</v>
      </c>
      <c r="I36" s="1" t="s">
        <v>18</v>
      </c>
      <c r="O36" s="1">
        <f>H51</f>
        <v>30</v>
      </c>
      <c r="P36" s="1">
        <f>F51</f>
        <v>58</v>
      </c>
      <c r="Q36" s="1">
        <f>D51</f>
        <v>1</v>
      </c>
      <c r="R36" s="1" t="s">
        <v>25</v>
      </c>
    </row>
    <row r="37" spans="2:18" x14ac:dyDescent="0.2">
      <c r="C37" s="1"/>
      <c r="D37" s="1">
        <f>'کابینت زمینی'!H42</f>
        <v>1</v>
      </c>
      <c r="E37" s="1">
        <f>'کابینت زمینی'!G41</f>
        <v>0</v>
      </c>
      <c r="F37" s="1">
        <f>'کابینت زمینی'!G39</f>
        <v>55</v>
      </c>
      <c r="G37" s="1">
        <f>'کابینت زمینی'!H41</f>
        <v>1</v>
      </c>
      <c r="H37" s="1">
        <f>'کابینت زمینی'!H39</f>
        <v>94.8</v>
      </c>
      <c r="I37" s="1" t="s">
        <v>15</v>
      </c>
      <c r="O37" s="1">
        <f>H52</f>
        <v>73.400000000000006</v>
      </c>
      <c r="P37" s="1">
        <f>F52</f>
        <v>58</v>
      </c>
      <c r="Q37" s="1">
        <f>D52</f>
        <v>2</v>
      </c>
      <c r="R37" s="1" t="s">
        <v>25</v>
      </c>
    </row>
    <row r="38" spans="2:18" x14ac:dyDescent="0.2">
      <c r="C38" s="1"/>
      <c r="D38" s="1">
        <f>'کابینت زمینی'!J42</f>
        <v>1</v>
      </c>
      <c r="E38" s="1">
        <f>'کابینت زمینی'!I41</f>
        <v>0</v>
      </c>
      <c r="F38" s="1">
        <f>'کابینت زمینی'!I39</f>
        <v>7</v>
      </c>
      <c r="G38" s="1">
        <f>'کابینت زمینی'!J41</f>
        <v>0</v>
      </c>
      <c r="H38" s="1">
        <f>'کابینت زمینی'!J39</f>
        <v>94.8</v>
      </c>
      <c r="I38" s="1" t="s">
        <v>14</v>
      </c>
      <c r="O38" s="1">
        <f>H53</f>
        <v>26.8</v>
      </c>
      <c r="P38" s="1">
        <f>F53</f>
        <v>55</v>
      </c>
      <c r="Q38" s="1">
        <f>D53</f>
        <v>1</v>
      </c>
      <c r="R38" s="1" t="s">
        <v>25</v>
      </c>
    </row>
    <row r="39" spans="2:18" x14ac:dyDescent="0.2">
      <c r="O39" s="1">
        <f>H54</f>
        <v>26.8</v>
      </c>
      <c r="P39" s="1">
        <f>F54</f>
        <v>7</v>
      </c>
      <c r="Q39" s="1">
        <f>D54</f>
        <v>1</v>
      </c>
      <c r="R39" s="1" t="s">
        <v>25</v>
      </c>
    </row>
    <row r="40" spans="2:18" x14ac:dyDescent="0.2">
      <c r="O40" s="1">
        <f>H60</f>
        <v>98</v>
      </c>
      <c r="P40" s="1">
        <f>F60</f>
        <v>58</v>
      </c>
      <c r="Q40" s="1">
        <f>D60</f>
        <v>1</v>
      </c>
      <c r="R40" s="1" t="s">
        <v>25</v>
      </c>
    </row>
    <row r="41" spans="2:18" ht="15.75" thickBot="1" x14ac:dyDescent="0.25">
      <c r="I41" s="3" t="s">
        <v>8</v>
      </c>
      <c r="O41" s="1">
        <f>H61</f>
        <v>73.400000000000006</v>
      </c>
      <c r="P41" s="1">
        <f>F61</f>
        <v>58</v>
      </c>
      <c r="Q41" s="1">
        <f>D61</f>
        <v>2</v>
      </c>
      <c r="R41" s="1" t="s">
        <v>25</v>
      </c>
    </row>
    <row r="42" spans="2:18" ht="16.5" thickTop="1" thickBot="1" x14ac:dyDescent="0.25">
      <c r="B42" s="5">
        <v>6</v>
      </c>
      <c r="C42" s="3" t="s">
        <v>12</v>
      </c>
      <c r="D42" s="3" t="s">
        <v>5</v>
      </c>
      <c r="E42" s="3" t="s">
        <v>10</v>
      </c>
      <c r="F42" s="3" t="s">
        <v>11</v>
      </c>
      <c r="G42" s="3" t="s">
        <v>10</v>
      </c>
      <c r="H42" s="3" t="s">
        <v>9</v>
      </c>
      <c r="I42" s="15">
        <f>'کابینت زمینی'!B47</f>
        <v>98</v>
      </c>
      <c r="J42" s="3" t="s">
        <v>19</v>
      </c>
      <c r="K42" s="3" t="s">
        <v>5</v>
      </c>
      <c r="L42" s="3" t="s">
        <v>11</v>
      </c>
      <c r="M42" s="3" t="s">
        <v>9</v>
      </c>
      <c r="O42" s="1">
        <f>H62</f>
        <v>94.8</v>
      </c>
      <c r="P42" s="1">
        <f>F62</f>
        <v>55</v>
      </c>
      <c r="Q42" s="1">
        <f>D62</f>
        <v>1</v>
      </c>
      <c r="R42" s="1" t="s">
        <v>25</v>
      </c>
    </row>
    <row r="43" spans="2:18" ht="15.75" thickTop="1" x14ac:dyDescent="0.2">
      <c r="C43" s="1"/>
      <c r="D43" s="1">
        <f>'کابینت زمینی'!D50</f>
        <v>1</v>
      </c>
      <c r="E43" s="1">
        <f>'کابینت زمینی'!C49</f>
        <v>0</v>
      </c>
      <c r="F43" s="1">
        <f>'کابینت زمینی'!C47</f>
        <v>58</v>
      </c>
      <c r="G43" s="1">
        <f>'کابینت زمینی'!D49</f>
        <v>1</v>
      </c>
      <c r="H43" s="1">
        <f>'کابینت زمینی'!D47</f>
        <v>98</v>
      </c>
      <c r="I43" s="1" t="s">
        <v>17</v>
      </c>
      <c r="J43" s="4"/>
      <c r="K43" s="4">
        <f>'کابینت زمینی'!L50</f>
        <v>1</v>
      </c>
      <c r="L43" s="4">
        <f>'کابینت زمینی'!K47</f>
        <v>96.4</v>
      </c>
      <c r="M43" s="4">
        <f>'کابینت زمینی'!L47</f>
        <v>74.2</v>
      </c>
      <c r="O43" s="1">
        <f>H63</f>
        <v>94.8</v>
      </c>
      <c r="P43" s="1">
        <f>F63</f>
        <v>7</v>
      </c>
      <c r="Q43" s="1">
        <f>D63</f>
        <v>1</v>
      </c>
      <c r="R43" s="1" t="s">
        <v>25</v>
      </c>
    </row>
    <row r="44" spans="2:18" x14ac:dyDescent="0.2">
      <c r="C44" s="1"/>
      <c r="D44" s="1">
        <f>'کابینت زمینی'!F50</f>
        <v>2</v>
      </c>
      <c r="E44" s="1">
        <f>'کابینت زمینی'!E49</f>
        <v>0</v>
      </c>
      <c r="F44" s="1">
        <f>'کابینت زمینی'!E47</f>
        <v>58</v>
      </c>
      <c r="G44" s="1">
        <f>'کابینت زمینی'!F49</f>
        <v>1</v>
      </c>
      <c r="H44" s="1">
        <f>'کابینت زمینی'!F47</f>
        <v>73.400000000000006</v>
      </c>
      <c r="I44" s="1" t="s">
        <v>18</v>
      </c>
      <c r="O44" s="1">
        <f>H68</f>
        <v>98</v>
      </c>
      <c r="P44" s="1">
        <f>F68</f>
        <v>58</v>
      </c>
      <c r="Q44" s="1">
        <f>D68</f>
        <v>1</v>
      </c>
      <c r="R44" s="1" t="s">
        <v>25</v>
      </c>
    </row>
    <row r="45" spans="2:18" x14ac:dyDescent="0.2">
      <c r="C45" s="1"/>
      <c r="D45" s="1">
        <f>'کابینت زمینی'!H50</f>
        <v>1</v>
      </c>
      <c r="E45" s="1">
        <f>'کابینت زمینی'!G49</f>
        <v>0</v>
      </c>
      <c r="F45" s="1">
        <f>'کابینت زمینی'!G47</f>
        <v>55</v>
      </c>
      <c r="G45" s="1">
        <f>'کابینت زمینی'!H49</f>
        <v>1</v>
      </c>
      <c r="H45" s="1">
        <f>'کابینت زمینی'!H47</f>
        <v>94.8</v>
      </c>
      <c r="I45" s="1" t="s">
        <v>15</v>
      </c>
      <c r="O45" s="1">
        <f>H69</f>
        <v>73.400000000000006</v>
      </c>
      <c r="P45" s="1">
        <f>F69</f>
        <v>58</v>
      </c>
      <c r="Q45" s="1">
        <f>D69</f>
        <v>2</v>
      </c>
      <c r="R45" s="1" t="s">
        <v>25</v>
      </c>
    </row>
    <row r="46" spans="2:18" x14ac:dyDescent="0.2">
      <c r="C46" s="1"/>
      <c r="D46" s="1">
        <f>'کابینت زمینی'!J50</f>
        <v>1</v>
      </c>
      <c r="E46" s="1">
        <f>'کابینت زمینی'!I49</f>
        <v>0</v>
      </c>
      <c r="F46" s="1">
        <f>'کابینت زمینی'!I47</f>
        <v>7</v>
      </c>
      <c r="G46" s="1">
        <f>'کابینت زمینی'!J49</f>
        <v>0</v>
      </c>
      <c r="H46" s="1">
        <f>'کابینت زمینی'!J47</f>
        <v>94.8</v>
      </c>
      <c r="I46" s="1" t="s">
        <v>14</v>
      </c>
      <c r="O46" s="1">
        <f>H70</f>
        <v>94.8</v>
      </c>
      <c r="P46" s="1">
        <f>F70</f>
        <v>55</v>
      </c>
      <c r="Q46" s="1">
        <f>D70</f>
        <v>1</v>
      </c>
      <c r="R46" s="1" t="s">
        <v>25</v>
      </c>
    </row>
    <row r="47" spans="2:18" x14ac:dyDescent="0.2">
      <c r="O47" s="1">
        <f>H71</f>
        <v>94.8</v>
      </c>
      <c r="P47" s="1">
        <f>F71</f>
        <v>7</v>
      </c>
      <c r="Q47" s="1">
        <f>D71</f>
        <v>1</v>
      </c>
      <c r="R47" s="1" t="s">
        <v>25</v>
      </c>
    </row>
    <row r="48" spans="2:18" x14ac:dyDescent="0.2">
      <c r="O48" s="1">
        <f>H76</f>
        <v>100</v>
      </c>
      <c r="P48" s="1">
        <f>F76</f>
        <v>58</v>
      </c>
      <c r="Q48" s="1">
        <f>D76</f>
        <v>0</v>
      </c>
      <c r="R48" s="1" t="s">
        <v>25</v>
      </c>
    </row>
    <row r="49" spans="2:18" ht="15.75" thickBot="1" x14ac:dyDescent="0.25">
      <c r="I49" s="3" t="s">
        <v>8</v>
      </c>
      <c r="O49" s="1">
        <f>H77</f>
        <v>73.400000000000006</v>
      </c>
      <c r="P49" s="1">
        <f>F77</f>
        <v>58</v>
      </c>
      <c r="Q49" s="1">
        <f>D77</f>
        <v>2</v>
      </c>
      <c r="R49" s="1" t="s">
        <v>25</v>
      </c>
    </row>
    <row r="50" spans="2:18" ht="16.5" thickTop="1" thickBot="1" x14ac:dyDescent="0.25">
      <c r="B50" s="5">
        <v>7</v>
      </c>
      <c r="C50" s="3" t="s">
        <v>12</v>
      </c>
      <c r="D50" s="3" t="s">
        <v>5</v>
      </c>
      <c r="E50" s="3" t="s">
        <v>10</v>
      </c>
      <c r="F50" s="3" t="s">
        <v>11</v>
      </c>
      <c r="G50" s="3" t="s">
        <v>10</v>
      </c>
      <c r="H50" s="3" t="s">
        <v>9</v>
      </c>
      <c r="I50" s="15">
        <f>'کابینت زمینی'!B55</f>
        <v>30</v>
      </c>
      <c r="J50" s="3" t="s">
        <v>19</v>
      </c>
      <c r="K50" s="3" t="s">
        <v>5</v>
      </c>
      <c r="L50" s="3" t="s">
        <v>11</v>
      </c>
      <c r="M50" s="3" t="s">
        <v>9</v>
      </c>
      <c r="O50" s="1">
        <f>H78</f>
        <v>96.8</v>
      </c>
      <c r="P50" s="1">
        <f>F78</f>
        <v>55</v>
      </c>
      <c r="Q50" s="1">
        <f>D78</f>
        <v>0</v>
      </c>
      <c r="R50" s="1" t="s">
        <v>25</v>
      </c>
    </row>
    <row r="51" spans="2:18" ht="15.75" thickTop="1" x14ac:dyDescent="0.2">
      <c r="C51" s="1"/>
      <c r="D51" s="1">
        <f>'کابینت زمینی'!D58</f>
        <v>1</v>
      </c>
      <c r="E51" s="1">
        <f>'کابینت زمینی'!C57</f>
        <v>0</v>
      </c>
      <c r="F51" s="1">
        <f>'کابینت زمینی'!C55</f>
        <v>58</v>
      </c>
      <c r="G51" s="1">
        <f>'کابینت زمینی'!D57</f>
        <v>1</v>
      </c>
      <c r="H51" s="1">
        <f>'کابینت زمینی'!D55</f>
        <v>30</v>
      </c>
      <c r="I51" s="1" t="s">
        <v>17</v>
      </c>
      <c r="J51" s="4"/>
      <c r="K51" s="4">
        <f>'کابینت زمینی'!L58</f>
        <v>1</v>
      </c>
      <c r="L51" s="4">
        <f>'کابینت زمینی'!K55</f>
        <v>28.4</v>
      </c>
      <c r="M51" s="4">
        <f>'کابینت زمینی'!L55</f>
        <v>74.2</v>
      </c>
      <c r="O51" s="1">
        <f>H79</f>
        <v>96.8</v>
      </c>
      <c r="P51" s="1">
        <f>F79</f>
        <v>7</v>
      </c>
      <c r="Q51" s="1">
        <f>D79</f>
        <v>0</v>
      </c>
      <c r="R51" s="1" t="s">
        <v>25</v>
      </c>
    </row>
    <row r="52" spans="2:18" x14ac:dyDescent="0.2">
      <c r="C52" s="1"/>
      <c r="D52" s="1">
        <f>'کابینت زمینی'!F58</f>
        <v>2</v>
      </c>
      <c r="E52" s="1">
        <f>'کابینت زمینی'!E57</f>
        <v>0</v>
      </c>
      <c r="F52" s="1">
        <f>'کابینت زمینی'!E55</f>
        <v>58</v>
      </c>
      <c r="G52" s="1">
        <f>'کابینت زمینی'!F57</f>
        <v>1</v>
      </c>
      <c r="H52" s="1">
        <f>'کابینت زمینی'!F55</f>
        <v>73.400000000000006</v>
      </c>
      <c r="I52" s="1" t="s">
        <v>18</v>
      </c>
      <c r="O52" s="1">
        <f>H84</f>
        <v>98</v>
      </c>
      <c r="P52" s="1">
        <f>F84</f>
        <v>58</v>
      </c>
      <c r="Q52" s="1">
        <f>D84</f>
        <v>0</v>
      </c>
      <c r="R52" s="1" t="s">
        <v>25</v>
      </c>
    </row>
    <row r="53" spans="2:18" x14ac:dyDescent="0.2">
      <c r="C53" s="1"/>
      <c r="D53" s="1">
        <f>'کابینت زمینی'!H58</f>
        <v>1</v>
      </c>
      <c r="E53" s="1">
        <f>'کابینت زمینی'!G57</f>
        <v>0</v>
      </c>
      <c r="F53" s="1">
        <f>'کابینت زمینی'!G55</f>
        <v>55</v>
      </c>
      <c r="G53" s="1">
        <f>'کابینت زمینی'!H57</f>
        <v>1</v>
      </c>
      <c r="H53" s="1">
        <f>'کابینت زمینی'!H55</f>
        <v>26.8</v>
      </c>
      <c r="I53" s="1" t="s">
        <v>15</v>
      </c>
      <c r="O53" s="1">
        <f>H85</f>
        <v>73.400000000000006</v>
      </c>
      <c r="P53" s="1">
        <f>F85</f>
        <v>58</v>
      </c>
      <c r="Q53" s="1">
        <f>D85</f>
        <v>2</v>
      </c>
      <c r="R53" s="1" t="s">
        <v>25</v>
      </c>
    </row>
    <row r="54" spans="2:18" x14ac:dyDescent="0.2">
      <c r="C54" s="1"/>
      <c r="D54" s="1">
        <f>'کابینت زمینی'!J58</f>
        <v>1</v>
      </c>
      <c r="E54" s="1">
        <f>'کابینت زمینی'!I57</f>
        <v>0</v>
      </c>
      <c r="F54" s="1">
        <f>'کابینت زمینی'!I55</f>
        <v>7</v>
      </c>
      <c r="G54" s="1">
        <f>'کابینت زمینی'!J57</f>
        <v>0</v>
      </c>
      <c r="H54" s="1">
        <f>'کابینت زمینی'!J55</f>
        <v>26.8</v>
      </c>
      <c r="I54" s="1" t="s">
        <v>14</v>
      </c>
      <c r="O54" s="1">
        <f>H86</f>
        <v>94.8</v>
      </c>
      <c r="P54" s="1">
        <f>F86</f>
        <v>55</v>
      </c>
      <c r="Q54" s="1">
        <f>D86</f>
        <v>0</v>
      </c>
      <c r="R54" s="1" t="s">
        <v>25</v>
      </c>
    </row>
    <row r="55" spans="2:18" x14ac:dyDescent="0.2">
      <c r="O55" s="1">
        <f>H87</f>
        <v>94.8</v>
      </c>
      <c r="P55" s="1">
        <f>F87</f>
        <v>7</v>
      </c>
      <c r="Q55" s="1">
        <f>D87</f>
        <v>0</v>
      </c>
      <c r="R55" s="1" t="s">
        <v>25</v>
      </c>
    </row>
    <row r="58" spans="2:18" ht="15.75" thickBot="1" x14ac:dyDescent="0.25">
      <c r="I58" s="3" t="s">
        <v>8</v>
      </c>
    </row>
    <row r="59" spans="2:18" ht="16.5" thickTop="1" thickBot="1" x14ac:dyDescent="0.25">
      <c r="B59" s="5">
        <v>8</v>
      </c>
      <c r="C59" s="3" t="s">
        <v>12</v>
      </c>
      <c r="D59" s="3" t="s">
        <v>5</v>
      </c>
      <c r="E59" s="3" t="s">
        <v>10</v>
      </c>
      <c r="F59" s="3" t="s">
        <v>11</v>
      </c>
      <c r="G59" s="3" t="s">
        <v>10</v>
      </c>
      <c r="H59" s="3" t="s">
        <v>9</v>
      </c>
      <c r="I59" s="15">
        <f>'کابینت زمینی'!B63</f>
        <v>98</v>
      </c>
      <c r="J59" s="3" t="s">
        <v>19</v>
      </c>
      <c r="K59" s="3" t="s">
        <v>5</v>
      </c>
      <c r="L59" s="3" t="s">
        <v>11</v>
      </c>
      <c r="M59" s="3" t="s">
        <v>9</v>
      </c>
    </row>
    <row r="60" spans="2:18" ht="15.75" thickTop="1" x14ac:dyDescent="0.2">
      <c r="C60" s="1"/>
      <c r="D60" s="1">
        <f>'کابینت زمینی'!D66</f>
        <v>1</v>
      </c>
      <c r="E60" s="1">
        <f>'کابینت زمینی'!C65</f>
        <v>0</v>
      </c>
      <c r="F60" s="1">
        <f>'کابینت زمینی'!C63</f>
        <v>58</v>
      </c>
      <c r="G60" s="1">
        <f>'کابینت زمینی'!D65</f>
        <v>1</v>
      </c>
      <c r="H60" s="1">
        <f>'کابینت زمینی'!D63</f>
        <v>98</v>
      </c>
      <c r="I60" s="1" t="s">
        <v>17</v>
      </c>
      <c r="J60" s="4"/>
      <c r="K60" s="4">
        <f>'کابینت زمینی'!L66</f>
        <v>1</v>
      </c>
      <c r="L60" s="4">
        <f>'کابینت زمینی'!K63</f>
        <v>96.4</v>
      </c>
      <c r="M60" s="4">
        <f>'کابینت زمینی'!L63</f>
        <v>74.2</v>
      </c>
    </row>
    <row r="61" spans="2:18" x14ac:dyDescent="0.2">
      <c r="C61" s="1"/>
      <c r="D61" s="1">
        <f>'کابینت زمینی'!F66</f>
        <v>2</v>
      </c>
      <c r="E61" s="1">
        <f>'کابینت زمینی'!E65</f>
        <v>0</v>
      </c>
      <c r="F61" s="1">
        <f>'کابینت زمینی'!E63</f>
        <v>58</v>
      </c>
      <c r="G61" s="1">
        <f>'کابینت زمینی'!F65</f>
        <v>1</v>
      </c>
      <c r="H61" s="1">
        <f>'کابینت زمینی'!F63</f>
        <v>73.400000000000006</v>
      </c>
      <c r="I61" s="1" t="s">
        <v>18</v>
      </c>
    </row>
    <row r="62" spans="2:18" x14ac:dyDescent="0.2">
      <c r="C62" s="1"/>
      <c r="D62" s="1">
        <f>'کابینت زمینی'!H66</f>
        <v>1</v>
      </c>
      <c r="E62" s="1">
        <f>'کابینت زمینی'!G65</f>
        <v>0</v>
      </c>
      <c r="F62" s="1">
        <f>'کابینت زمینی'!G63</f>
        <v>55</v>
      </c>
      <c r="G62" s="1">
        <f>'کابینت زمینی'!H65</f>
        <v>1</v>
      </c>
      <c r="H62" s="1">
        <f>'کابینت زمینی'!H63</f>
        <v>94.8</v>
      </c>
      <c r="I62" s="1" t="s">
        <v>15</v>
      </c>
    </row>
    <row r="63" spans="2:18" x14ac:dyDescent="0.2">
      <c r="C63" s="1"/>
      <c r="D63" s="1">
        <f>'کابینت زمینی'!J66</f>
        <v>1</v>
      </c>
      <c r="E63" s="1">
        <f>'کابینت زمینی'!I65</f>
        <v>0</v>
      </c>
      <c r="F63" s="1">
        <f>'کابینت زمینی'!I63</f>
        <v>7</v>
      </c>
      <c r="G63" s="1">
        <f>'کابینت زمینی'!J65</f>
        <v>0</v>
      </c>
      <c r="H63" s="1">
        <f>'کابینت زمینی'!J63</f>
        <v>94.8</v>
      </c>
      <c r="I63" s="1" t="s">
        <v>14</v>
      </c>
    </row>
    <row r="66" spans="2:13" ht="15.75" thickBot="1" x14ac:dyDescent="0.25">
      <c r="I66" s="3" t="s">
        <v>8</v>
      </c>
    </row>
    <row r="67" spans="2:13" ht="16.5" thickTop="1" thickBot="1" x14ac:dyDescent="0.25">
      <c r="B67" s="5">
        <v>9</v>
      </c>
      <c r="C67" s="3" t="s">
        <v>12</v>
      </c>
      <c r="D67" s="3" t="s">
        <v>5</v>
      </c>
      <c r="E67" s="3" t="s">
        <v>10</v>
      </c>
      <c r="F67" s="3" t="s">
        <v>11</v>
      </c>
      <c r="G67" s="3" t="s">
        <v>10</v>
      </c>
      <c r="H67" s="3" t="s">
        <v>9</v>
      </c>
      <c r="I67" s="15">
        <f>'کابینت زمینی'!B71</f>
        <v>98</v>
      </c>
      <c r="J67" s="3" t="s">
        <v>19</v>
      </c>
      <c r="K67" s="3" t="s">
        <v>5</v>
      </c>
      <c r="L67" s="3" t="s">
        <v>11</v>
      </c>
      <c r="M67" s="3" t="s">
        <v>9</v>
      </c>
    </row>
    <row r="68" spans="2:13" ht="15.75" thickTop="1" x14ac:dyDescent="0.2">
      <c r="C68" s="1"/>
      <c r="D68" s="1">
        <f>'کابینت زمینی'!D74</f>
        <v>1</v>
      </c>
      <c r="E68" s="1">
        <f>'کابینت زمینی'!C73</f>
        <v>0</v>
      </c>
      <c r="F68" s="1">
        <f>'کابینت زمینی'!C71</f>
        <v>58</v>
      </c>
      <c r="G68" s="1">
        <f>'کابینت زمینی'!D73</f>
        <v>1</v>
      </c>
      <c r="H68" s="1">
        <f>'کابینت زمینی'!D71</f>
        <v>98</v>
      </c>
      <c r="I68" s="1" t="s">
        <v>17</v>
      </c>
      <c r="J68" s="4"/>
      <c r="K68" s="4">
        <f>'کابینت زمینی'!L74</f>
        <v>1</v>
      </c>
      <c r="L68" s="4">
        <f>'کابینت زمینی'!K71</f>
        <v>96.4</v>
      </c>
      <c r="M68" s="4">
        <f>'کابینت زمینی'!L71</f>
        <v>74.2</v>
      </c>
    </row>
    <row r="69" spans="2:13" x14ac:dyDescent="0.2">
      <c r="C69" s="1"/>
      <c r="D69" s="1">
        <f>'کابینت زمینی'!F74</f>
        <v>2</v>
      </c>
      <c r="E69" s="1">
        <f>'کابینت زمینی'!E73</f>
        <v>0</v>
      </c>
      <c r="F69" s="1">
        <f>'کابینت زمینی'!E71</f>
        <v>58</v>
      </c>
      <c r="G69" s="1">
        <f>'کابینت زمینی'!F73</f>
        <v>1</v>
      </c>
      <c r="H69" s="1">
        <f>'کابینت زمینی'!F71</f>
        <v>73.400000000000006</v>
      </c>
      <c r="I69" s="1" t="s">
        <v>18</v>
      </c>
    </row>
    <row r="70" spans="2:13" x14ac:dyDescent="0.2">
      <c r="C70" s="1"/>
      <c r="D70" s="1">
        <f>'کابینت زمینی'!H74</f>
        <v>1</v>
      </c>
      <c r="E70" s="1">
        <f>'کابینت زمینی'!G73</f>
        <v>0</v>
      </c>
      <c r="F70" s="1">
        <f>'کابینت زمینی'!G71</f>
        <v>55</v>
      </c>
      <c r="G70" s="1">
        <f>'کابینت زمینی'!H73</f>
        <v>1</v>
      </c>
      <c r="H70" s="1">
        <f>'کابینت زمینی'!H71</f>
        <v>94.8</v>
      </c>
      <c r="I70" s="1" t="s">
        <v>15</v>
      </c>
    </row>
    <row r="71" spans="2:13" x14ac:dyDescent="0.2">
      <c r="C71" s="1"/>
      <c r="D71" s="1">
        <f>'کابینت زمینی'!J74</f>
        <v>1</v>
      </c>
      <c r="E71" s="1">
        <f>'کابینت زمینی'!I65</f>
        <v>0</v>
      </c>
      <c r="F71" s="1">
        <f>'کابینت زمینی'!I63</f>
        <v>7</v>
      </c>
      <c r="G71" s="1">
        <f>'کابینت زمینی'!J65</f>
        <v>0</v>
      </c>
      <c r="H71" s="1">
        <f>'کابینت زمینی'!J63</f>
        <v>94.8</v>
      </c>
      <c r="I71" s="1" t="s">
        <v>14</v>
      </c>
    </row>
    <row r="74" spans="2:13" ht="15.75" thickBot="1" x14ac:dyDescent="0.25">
      <c r="I74" s="3" t="s">
        <v>8</v>
      </c>
    </row>
    <row r="75" spans="2:13" ht="16.5" thickTop="1" thickBot="1" x14ac:dyDescent="0.25">
      <c r="B75" s="5">
        <v>10</v>
      </c>
      <c r="C75" s="3" t="s">
        <v>12</v>
      </c>
      <c r="D75" s="3" t="s">
        <v>5</v>
      </c>
      <c r="E75" s="3" t="s">
        <v>10</v>
      </c>
      <c r="F75" s="3" t="s">
        <v>11</v>
      </c>
      <c r="G75" s="3" t="s">
        <v>10</v>
      </c>
      <c r="H75" s="3" t="s">
        <v>9</v>
      </c>
      <c r="I75" s="15">
        <f>'کابینت زمینی'!B79</f>
        <v>100</v>
      </c>
      <c r="J75" s="3" t="s">
        <v>19</v>
      </c>
      <c r="K75" s="3" t="s">
        <v>5</v>
      </c>
      <c r="L75" s="3" t="s">
        <v>11</v>
      </c>
      <c r="M75" s="3" t="s">
        <v>9</v>
      </c>
    </row>
    <row r="76" spans="2:13" ht="15.75" thickTop="1" x14ac:dyDescent="0.2">
      <c r="C76" s="1"/>
      <c r="D76" s="1">
        <f>'کابینت زمینی'!D82</f>
        <v>0</v>
      </c>
      <c r="E76" s="1">
        <f>'کابینت زمینی'!C81</f>
        <v>0</v>
      </c>
      <c r="F76" s="1">
        <f>'کابینت زمینی'!C79</f>
        <v>58</v>
      </c>
      <c r="G76" s="1">
        <f>'کابینت زمینی'!D81</f>
        <v>1</v>
      </c>
      <c r="H76" s="1">
        <f>'کابینت زمینی'!D79</f>
        <v>100</v>
      </c>
      <c r="I76" s="1" t="s">
        <v>17</v>
      </c>
      <c r="J76" s="4"/>
      <c r="K76" s="4">
        <f>'کابینت زمینی'!L82</f>
        <v>0</v>
      </c>
      <c r="L76" s="4">
        <f>'کابینت زمینی'!K79</f>
        <v>98.4</v>
      </c>
      <c r="M76" s="4">
        <f>'کابینت زمینی'!L79</f>
        <v>74.2</v>
      </c>
    </row>
    <row r="77" spans="2:13" x14ac:dyDescent="0.2">
      <c r="C77" s="1"/>
      <c r="D77" s="1">
        <f>'کابینت زمینی'!F82</f>
        <v>2</v>
      </c>
      <c r="E77" s="1">
        <f>'کابینت زمینی'!E81</f>
        <v>0</v>
      </c>
      <c r="F77" s="1">
        <f>'کابینت زمینی'!E79</f>
        <v>58</v>
      </c>
      <c r="G77" s="1">
        <f>'کابینت زمینی'!F81</f>
        <v>1</v>
      </c>
      <c r="H77" s="1">
        <f>'کابینت زمینی'!F79</f>
        <v>73.400000000000006</v>
      </c>
      <c r="I77" s="1" t="s">
        <v>18</v>
      </c>
    </row>
    <row r="78" spans="2:13" x14ac:dyDescent="0.2">
      <c r="C78" s="1"/>
      <c r="D78" s="1">
        <f>'کابینت زمینی'!H82</f>
        <v>0</v>
      </c>
      <c r="E78" s="1">
        <f>'کابینت زمینی'!G81</f>
        <v>0</v>
      </c>
      <c r="F78" s="1">
        <f>'کابینت زمینی'!G79</f>
        <v>55</v>
      </c>
      <c r="G78" s="1">
        <f>'کابینت زمینی'!H81</f>
        <v>1</v>
      </c>
      <c r="H78" s="1">
        <f>'کابینت زمینی'!H79</f>
        <v>96.8</v>
      </c>
      <c r="I78" s="1" t="s">
        <v>15</v>
      </c>
    </row>
    <row r="79" spans="2:13" x14ac:dyDescent="0.2">
      <c r="C79" s="1"/>
      <c r="D79" s="1">
        <f>'کابینت زمینی'!J82</f>
        <v>0</v>
      </c>
      <c r="E79" s="1">
        <f>'کابینت زمینی'!I81</f>
        <v>0</v>
      </c>
      <c r="F79" s="1">
        <f>'کابینت زمینی'!I79</f>
        <v>7</v>
      </c>
      <c r="G79" s="1">
        <f>'کابینت زمینی'!J81</f>
        <v>0</v>
      </c>
      <c r="H79" s="1">
        <f>'کابینت زمینی'!J79</f>
        <v>96.8</v>
      </c>
      <c r="I79" s="1" t="s">
        <v>14</v>
      </c>
    </row>
    <row r="82" spans="2:13" ht="15.75" thickBot="1" x14ac:dyDescent="0.25">
      <c r="I82" s="3" t="s">
        <v>8</v>
      </c>
    </row>
    <row r="83" spans="2:13" ht="16.5" thickTop="1" thickBot="1" x14ac:dyDescent="0.25">
      <c r="B83" s="5">
        <v>11</v>
      </c>
      <c r="C83" s="3" t="s">
        <v>12</v>
      </c>
      <c r="D83" s="3" t="s">
        <v>5</v>
      </c>
      <c r="E83" s="3" t="s">
        <v>10</v>
      </c>
      <c r="F83" s="3" t="s">
        <v>11</v>
      </c>
      <c r="G83" s="3" t="s">
        <v>10</v>
      </c>
      <c r="H83" s="3" t="s">
        <v>9</v>
      </c>
      <c r="I83" s="15">
        <f>'کابینت زمینی'!B87</f>
        <v>98</v>
      </c>
      <c r="J83" s="3" t="s">
        <v>19</v>
      </c>
      <c r="K83" s="3" t="s">
        <v>5</v>
      </c>
      <c r="L83" s="3" t="s">
        <v>11</v>
      </c>
      <c r="M83" s="3" t="s">
        <v>9</v>
      </c>
    </row>
    <row r="84" spans="2:13" ht="15.75" thickTop="1" x14ac:dyDescent="0.2">
      <c r="C84" s="1"/>
      <c r="D84" s="1">
        <f>'کابینت زمینی'!D90</f>
        <v>0</v>
      </c>
      <c r="E84" s="1">
        <f>'کابینت زمینی'!C81</f>
        <v>0</v>
      </c>
      <c r="F84" s="1">
        <f>'کابینت زمینی'!C79</f>
        <v>58</v>
      </c>
      <c r="G84" s="1">
        <f>'کابینت زمینی'!D81</f>
        <v>1</v>
      </c>
      <c r="H84" s="1">
        <f>'کابینت زمینی'!D87</f>
        <v>98</v>
      </c>
      <c r="I84" s="1" t="s">
        <v>17</v>
      </c>
      <c r="J84" s="4"/>
      <c r="K84" s="4">
        <f>'کابینت زمینی'!L90</f>
        <v>0</v>
      </c>
      <c r="L84" s="4">
        <f>'کابینت زمینی'!K87</f>
        <v>96.4</v>
      </c>
      <c r="M84" s="4">
        <f>'کابینت زمینی'!L87</f>
        <v>74.2</v>
      </c>
    </row>
    <row r="85" spans="2:13" x14ac:dyDescent="0.2">
      <c r="C85" s="1"/>
      <c r="D85" s="1">
        <f>'کابینت زمینی'!F90</f>
        <v>2</v>
      </c>
      <c r="E85" s="1">
        <f>'کابینت زمینی'!E81</f>
        <v>0</v>
      </c>
      <c r="F85" s="1">
        <f>'کابینت زمینی'!E79</f>
        <v>58</v>
      </c>
      <c r="G85" s="1">
        <f>'کابینت زمینی'!F81</f>
        <v>1</v>
      </c>
      <c r="H85" s="1">
        <f>'کابینت زمینی'!F79</f>
        <v>73.400000000000006</v>
      </c>
      <c r="I85" s="1" t="s">
        <v>18</v>
      </c>
    </row>
    <row r="86" spans="2:13" x14ac:dyDescent="0.2">
      <c r="C86" s="1"/>
      <c r="D86" s="1">
        <f>'کابینت زمینی'!H90</f>
        <v>0</v>
      </c>
      <c r="E86" s="1">
        <f>'کابینت زمینی'!G81</f>
        <v>0</v>
      </c>
      <c r="F86" s="1">
        <f>'کابینت زمینی'!G87</f>
        <v>55</v>
      </c>
      <c r="G86" s="1">
        <f>'کابینت زمینی'!H81</f>
        <v>1</v>
      </c>
      <c r="H86" s="1">
        <f>'کابینت زمینی'!H87</f>
        <v>94.8</v>
      </c>
      <c r="I86" s="1" t="s">
        <v>15</v>
      </c>
    </row>
    <row r="87" spans="2:13" x14ac:dyDescent="0.2">
      <c r="C87" s="1"/>
      <c r="D87" s="1">
        <f>'کابینت زمینی'!J90</f>
        <v>0</v>
      </c>
      <c r="E87" s="1">
        <f>'کابینت زمینی'!I89</f>
        <v>0</v>
      </c>
      <c r="F87" s="1">
        <f>'کابینت زمینی'!I87</f>
        <v>7</v>
      </c>
      <c r="G87" s="1">
        <f>'کابینت زمینی'!J89</f>
        <v>0</v>
      </c>
      <c r="H87" s="1">
        <f>'کابینت زمینی'!J87</f>
        <v>94.8</v>
      </c>
      <c r="I87" s="1" t="s">
        <v>14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>
                <anchor moveWithCells="1" sizeWithCells="1">
                  <from>
                    <xdr:col>15</xdr:col>
                    <xdr:colOff>38100</xdr:colOff>
                    <xdr:row>0</xdr:row>
                    <xdr:rowOff>28575</xdr:rowOff>
                  </from>
                  <to>
                    <xdr:col>17</xdr:col>
                    <xdr:colOff>19050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Button 3">
              <controlPr defaultSize="0" print="0" autoFill="0" autoPict="0" macro="[0]!Button3_Click">
                <anchor moveWithCells="1" sizeWithCells="1">
                  <from>
                    <xdr:col>20</xdr:col>
                    <xdr:colOff>19050</xdr:colOff>
                    <xdr:row>0</xdr:row>
                    <xdr:rowOff>19050</xdr:rowOff>
                  </from>
                  <to>
                    <xdr:col>21</xdr:col>
                    <xdr:colOff>561975</xdr:colOff>
                    <xdr:row>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Button 4">
              <controlPr defaultSize="0" print="0" autoFill="0" autoPict="0" macro="[0]!Button4_Click">
                <anchor moveWithCells="1" sizeWithCells="1">
                  <from>
                    <xdr:col>20</xdr:col>
                    <xdr:colOff>19050</xdr:colOff>
                    <xdr:row>17</xdr:row>
                    <xdr:rowOff>9525</xdr:rowOff>
                  </from>
                  <to>
                    <xdr:col>22</xdr:col>
                    <xdr:colOff>0</xdr:colOff>
                    <xdr:row>20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39"/>
  <sheetViews>
    <sheetView rightToLeft="1" topLeftCell="A121" zoomScaleNormal="100" workbookViewId="0">
      <selection activeCell="D139" sqref="D139"/>
    </sheetView>
  </sheetViews>
  <sheetFormatPr defaultRowHeight="15" x14ac:dyDescent="0.2"/>
  <cols>
    <col min="1" max="1" width="9.14453125" style="21"/>
    <col min="2" max="2" width="16.140625" customWidth="1"/>
    <col min="11" max="11" width="14.125" customWidth="1"/>
    <col min="12" max="12" width="14.66015625" customWidth="1"/>
    <col min="13" max="13" width="14.390625" customWidth="1"/>
    <col min="14" max="14" width="13.85546875" customWidth="1"/>
  </cols>
  <sheetData>
    <row r="1" spans="1:16" ht="15.75" thickBot="1" x14ac:dyDescent="0.25">
      <c r="A1" s="21" t="s">
        <v>29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6" ht="20.25" thickTop="1" thickBot="1" x14ac:dyDescent="0.3">
      <c r="A2" s="22">
        <v>1</v>
      </c>
      <c r="B2" s="23" t="s">
        <v>27</v>
      </c>
      <c r="C2" s="27" t="s">
        <v>2</v>
      </c>
      <c r="D2" s="26"/>
      <c r="E2" s="29" t="s">
        <v>1</v>
      </c>
      <c r="F2" s="28"/>
      <c r="G2" s="31" t="s">
        <v>28</v>
      </c>
      <c r="H2" s="30"/>
      <c r="I2" s="38" t="s">
        <v>3</v>
      </c>
      <c r="J2" s="39"/>
      <c r="K2" s="33" t="s">
        <v>4</v>
      </c>
      <c r="L2" s="32"/>
      <c r="M2" s="25" t="s">
        <v>31</v>
      </c>
      <c r="N2" s="25" t="s">
        <v>30</v>
      </c>
      <c r="O2" s="41" t="s">
        <v>32</v>
      </c>
      <c r="P2" s="41" t="s">
        <v>33</v>
      </c>
    </row>
    <row r="3" spans="1:16" ht="20.25" thickTop="1" thickBot="1" x14ac:dyDescent="0.3">
      <c r="B3" s="23">
        <v>60</v>
      </c>
      <c r="C3" s="8">
        <v>35</v>
      </c>
      <c r="D3" s="8">
        <v>90</v>
      </c>
      <c r="E3" s="24">
        <v>35</v>
      </c>
      <c r="F3" s="24">
        <f>B3-3.2</f>
        <v>56.8</v>
      </c>
      <c r="G3" s="12">
        <f>C3-2</f>
        <v>33</v>
      </c>
      <c r="H3" s="12">
        <f>B3-3.2</f>
        <v>56.8</v>
      </c>
      <c r="I3" s="40">
        <f>E3-3</f>
        <v>32</v>
      </c>
      <c r="J3" s="40">
        <f>F3</f>
        <v>56.8</v>
      </c>
      <c r="K3" s="9">
        <v>7</v>
      </c>
      <c r="L3" s="9">
        <f>B3-3.2</f>
        <v>56.8</v>
      </c>
      <c r="M3" s="25">
        <f>F3+1.6</f>
        <v>58.4</v>
      </c>
      <c r="N3" s="25">
        <f>D3-0.8</f>
        <v>89.2</v>
      </c>
      <c r="O3" s="41">
        <f>IF(AND(B3&gt;=10,B3&lt;=50), B3-0.2, IF(AND(B3&gt;50,B3&lt;=100),B3/2-0.2, IF(AND(B3&gt;100,B3&lt;=150),B3/3-0.2, "")))</f>
        <v>29.8</v>
      </c>
      <c r="P3" s="41">
        <v>92</v>
      </c>
    </row>
    <row r="4" spans="1:16" ht="15.75" thickTop="1" x14ac:dyDescent="0.2">
      <c r="C4" s="8" t="s">
        <v>10</v>
      </c>
      <c r="D4" s="8" t="s">
        <v>10</v>
      </c>
      <c r="E4" s="24" t="s">
        <v>10</v>
      </c>
      <c r="F4" s="24" t="s">
        <v>10</v>
      </c>
      <c r="G4" s="12" t="s">
        <v>10</v>
      </c>
      <c r="H4" s="12" t="s">
        <v>10</v>
      </c>
      <c r="I4" s="40" t="s">
        <v>10</v>
      </c>
      <c r="J4" s="40" t="s">
        <v>10</v>
      </c>
      <c r="K4" s="9" t="s">
        <v>10</v>
      </c>
      <c r="L4" s="9" t="s">
        <v>10</v>
      </c>
      <c r="M4" s="25"/>
      <c r="N4" s="25"/>
      <c r="O4" s="41"/>
      <c r="P4" s="41"/>
    </row>
    <row r="5" spans="1:16" x14ac:dyDescent="0.2">
      <c r="C5" s="8">
        <v>1</v>
      </c>
      <c r="D5" s="8">
        <v>1</v>
      </c>
      <c r="E5" s="24">
        <v>0</v>
      </c>
      <c r="F5" s="24">
        <v>1</v>
      </c>
      <c r="G5" s="12">
        <v>0</v>
      </c>
      <c r="H5" s="12">
        <v>1</v>
      </c>
      <c r="I5" s="40">
        <v>0</v>
      </c>
      <c r="J5" s="40">
        <v>1</v>
      </c>
      <c r="K5" s="9">
        <v>0</v>
      </c>
      <c r="L5" s="9">
        <v>0</v>
      </c>
      <c r="M5" s="25"/>
      <c r="N5" s="25"/>
      <c r="O5" s="41"/>
      <c r="P5" s="41"/>
    </row>
    <row r="6" spans="1:16" x14ac:dyDescent="0.2">
      <c r="A6"/>
      <c r="C6" s="8" t="s">
        <v>16</v>
      </c>
      <c r="D6" s="8">
        <v>2</v>
      </c>
      <c r="E6" s="24" t="s">
        <v>16</v>
      </c>
      <c r="F6" s="24">
        <v>1</v>
      </c>
      <c r="G6" s="12" t="s">
        <v>16</v>
      </c>
      <c r="H6" s="12">
        <v>1</v>
      </c>
      <c r="I6" s="40" t="s">
        <v>16</v>
      </c>
      <c r="J6" s="40">
        <v>1</v>
      </c>
      <c r="K6" s="9" t="s">
        <v>5</v>
      </c>
      <c r="L6" s="9">
        <v>1</v>
      </c>
      <c r="M6" s="25" t="s">
        <v>5</v>
      </c>
      <c r="N6" s="25">
        <v>1</v>
      </c>
      <c r="O6" s="41" t="s">
        <v>16</v>
      </c>
      <c r="P6" s="41">
        <f>IF(AND(B3&gt;=10,B3&lt;=50),1,IF(AND(B3&gt;50,B3&lt;=100),2,IF(AND(B3&gt;100,B3&lt;=150),3,"")))</f>
        <v>2</v>
      </c>
    </row>
    <row r="7" spans="1:16" x14ac:dyDescent="0.2">
      <c r="A7"/>
    </row>
    <row r="8" spans="1:16" ht="15.75" thickBot="1" x14ac:dyDescent="0.25">
      <c r="A8"/>
    </row>
    <row r="9" spans="1:16" ht="20.25" thickTop="1" thickBot="1" x14ac:dyDescent="0.3">
      <c r="A9" s="22">
        <v>2</v>
      </c>
      <c r="B9" s="23" t="s">
        <v>27</v>
      </c>
      <c r="C9" s="27" t="s">
        <v>2</v>
      </c>
      <c r="D9" s="26"/>
      <c r="E9" s="29" t="s">
        <v>1</v>
      </c>
      <c r="F9" s="28"/>
      <c r="G9" s="31" t="s">
        <v>28</v>
      </c>
      <c r="H9" s="30"/>
      <c r="I9" s="38" t="s">
        <v>3</v>
      </c>
      <c r="J9" s="39"/>
      <c r="K9" s="33" t="s">
        <v>4</v>
      </c>
      <c r="L9" s="32"/>
      <c r="M9" s="25" t="s">
        <v>31</v>
      </c>
      <c r="N9" s="25" t="s">
        <v>30</v>
      </c>
      <c r="O9" s="41" t="s">
        <v>32</v>
      </c>
      <c r="P9" s="41" t="s">
        <v>33</v>
      </c>
    </row>
    <row r="10" spans="1:16" ht="20.25" thickTop="1" thickBot="1" x14ac:dyDescent="0.3">
      <c r="A10"/>
      <c r="B10" s="23">
        <v>84</v>
      </c>
      <c r="C10" s="8">
        <v>35</v>
      </c>
      <c r="D10" s="8">
        <v>100</v>
      </c>
      <c r="E10" s="24">
        <v>35</v>
      </c>
      <c r="F10" s="24">
        <f>B10-3.2</f>
        <v>80.8</v>
      </c>
      <c r="G10" s="12">
        <f>C10-2</f>
        <v>33</v>
      </c>
      <c r="H10" s="12">
        <f>B10-3.2</f>
        <v>80.8</v>
      </c>
      <c r="I10" s="40">
        <f>E10-3</f>
        <v>32</v>
      </c>
      <c r="J10" s="40">
        <f>F10</f>
        <v>80.8</v>
      </c>
      <c r="K10" s="9">
        <v>7</v>
      </c>
      <c r="L10" s="9">
        <f>B10-3.2</f>
        <v>80.8</v>
      </c>
      <c r="M10" s="25">
        <f>F10+1.6</f>
        <v>82.399999999999991</v>
      </c>
      <c r="N10" s="25">
        <f>D10-0.8</f>
        <v>99.2</v>
      </c>
      <c r="O10" s="41">
        <f>IF(AND(B10&gt;=10,B10&lt;=50), B10-0.2, IF(AND(B10&gt;50,B10&lt;=100),B10/2-0.2, IF(AND(B10&gt;100,B10&lt;=150),B10/3-0.2, "")))</f>
        <v>41.8</v>
      </c>
      <c r="P10" s="41">
        <v>92</v>
      </c>
    </row>
    <row r="11" spans="1:16" ht="15.75" thickTop="1" x14ac:dyDescent="0.2">
      <c r="A11"/>
      <c r="C11" s="8" t="s">
        <v>10</v>
      </c>
      <c r="D11" s="8" t="s">
        <v>10</v>
      </c>
      <c r="E11" s="24" t="s">
        <v>10</v>
      </c>
      <c r="F11" s="24" t="s">
        <v>10</v>
      </c>
      <c r="G11" s="12" t="s">
        <v>10</v>
      </c>
      <c r="H11" s="12" t="s">
        <v>10</v>
      </c>
      <c r="I11" s="40" t="s">
        <v>10</v>
      </c>
      <c r="J11" s="40" t="s">
        <v>10</v>
      </c>
      <c r="K11" s="9" t="s">
        <v>10</v>
      </c>
      <c r="L11" s="9" t="s">
        <v>10</v>
      </c>
      <c r="M11" s="25"/>
      <c r="N11" s="25"/>
      <c r="O11" s="41"/>
      <c r="P11" s="41"/>
    </row>
    <row r="12" spans="1:16" x14ac:dyDescent="0.2">
      <c r="A12"/>
      <c r="C12" s="8">
        <v>1</v>
      </c>
      <c r="D12" s="8">
        <v>1</v>
      </c>
      <c r="E12" s="24">
        <v>0</v>
      </c>
      <c r="F12" s="24">
        <v>1</v>
      </c>
      <c r="G12" s="12">
        <v>0</v>
      </c>
      <c r="H12" s="12">
        <v>1</v>
      </c>
      <c r="I12" s="40">
        <v>0</v>
      </c>
      <c r="J12" s="40">
        <v>1</v>
      </c>
      <c r="K12" s="9">
        <v>0</v>
      </c>
      <c r="L12" s="9">
        <v>0</v>
      </c>
      <c r="M12" s="25"/>
      <c r="N12" s="25"/>
      <c r="O12" s="41"/>
      <c r="P12" s="41"/>
    </row>
    <row r="13" spans="1:16" x14ac:dyDescent="0.2">
      <c r="A13"/>
      <c r="C13" s="8" t="s">
        <v>16</v>
      </c>
      <c r="D13" s="8">
        <v>2</v>
      </c>
      <c r="E13" s="24" t="s">
        <v>16</v>
      </c>
      <c r="F13" s="24">
        <v>1</v>
      </c>
      <c r="G13" s="12" t="s">
        <v>16</v>
      </c>
      <c r="H13" s="12">
        <v>1</v>
      </c>
      <c r="I13" s="40" t="s">
        <v>16</v>
      </c>
      <c r="J13" s="40">
        <v>1</v>
      </c>
      <c r="K13" s="9" t="s">
        <v>5</v>
      </c>
      <c r="L13" s="9">
        <v>1</v>
      </c>
      <c r="M13" s="25" t="s">
        <v>5</v>
      </c>
      <c r="N13" s="25">
        <v>1</v>
      </c>
      <c r="O13" s="41" t="s">
        <v>16</v>
      </c>
      <c r="P13" s="41">
        <f>IF(AND(B10&gt;=10,B10&lt;=50),1,IF(AND(B10&gt;50,B10&lt;=100),2,IF(AND(B10&gt;100,B10&lt;=150),3,"")))</f>
        <v>2</v>
      </c>
    </row>
    <row r="14" spans="1:16" x14ac:dyDescent="0.2">
      <c r="A14"/>
    </row>
    <row r="15" spans="1:16" ht="15.75" thickBot="1" x14ac:dyDescent="0.25">
      <c r="A15"/>
    </row>
    <row r="16" spans="1:16" ht="20.25" thickTop="1" thickBot="1" x14ac:dyDescent="0.3">
      <c r="A16" s="22">
        <v>3</v>
      </c>
      <c r="B16" s="23" t="s">
        <v>27</v>
      </c>
      <c r="C16" s="27" t="s">
        <v>2</v>
      </c>
      <c r="D16" s="26"/>
      <c r="E16" s="29" t="s">
        <v>1</v>
      </c>
      <c r="F16" s="28"/>
      <c r="G16" s="31" t="s">
        <v>28</v>
      </c>
      <c r="H16" s="30"/>
      <c r="I16" s="38" t="s">
        <v>3</v>
      </c>
      <c r="J16" s="39"/>
      <c r="K16" s="33" t="s">
        <v>4</v>
      </c>
      <c r="L16" s="32"/>
      <c r="M16" s="25" t="s">
        <v>31</v>
      </c>
      <c r="N16" s="25" t="s">
        <v>30</v>
      </c>
      <c r="O16" s="41" t="s">
        <v>32</v>
      </c>
      <c r="P16" s="41" t="s">
        <v>33</v>
      </c>
    </row>
    <row r="17" spans="1:16" ht="20.25" thickTop="1" thickBot="1" x14ac:dyDescent="0.3">
      <c r="A17"/>
      <c r="B17" s="23">
        <v>80</v>
      </c>
      <c r="C17" s="8">
        <v>35</v>
      </c>
      <c r="D17" s="8">
        <v>90</v>
      </c>
      <c r="E17" s="24">
        <v>35</v>
      </c>
      <c r="F17" s="24">
        <f>B17-3.2</f>
        <v>76.8</v>
      </c>
      <c r="G17" s="12">
        <f>C17-2</f>
        <v>33</v>
      </c>
      <c r="H17" s="12">
        <f>B17-3.2</f>
        <v>76.8</v>
      </c>
      <c r="I17" s="40">
        <f>E17-3</f>
        <v>32</v>
      </c>
      <c r="J17" s="40">
        <f>F17</f>
        <v>76.8</v>
      </c>
      <c r="K17" s="9">
        <v>7</v>
      </c>
      <c r="L17" s="9">
        <f>B17-3.2</f>
        <v>76.8</v>
      </c>
      <c r="M17" s="25">
        <f>F17+1.6</f>
        <v>78.399999999999991</v>
      </c>
      <c r="N17" s="25">
        <f>D17-0.8</f>
        <v>89.2</v>
      </c>
      <c r="O17" s="41">
        <f>IF(AND(B17&gt;=10,B17&lt;=50), B17-0.2, IF(AND(B17&gt;50,B17&lt;=100),B17/2-0.2, IF(AND(B17&gt;100,B17&lt;=150),B17/3-0.2, "")))</f>
        <v>39.799999999999997</v>
      </c>
      <c r="P17" s="41">
        <v>92</v>
      </c>
    </row>
    <row r="18" spans="1:16" ht="15.75" thickTop="1" x14ac:dyDescent="0.2">
      <c r="A18"/>
      <c r="C18" s="8" t="s">
        <v>10</v>
      </c>
      <c r="D18" s="8" t="s">
        <v>10</v>
      </c>
      <c r="E18" s="24" t="s">
        <v>10</v>
      </c>
      <c r="F18" s="24" t="s">
        <v>10</v>
      </c>
      <c r="G18" s="12" t="s">
        <v>10</v>
      </c>
      <c r="H18" s="12" t="s">
        <v>10</v>
      </c>
      <c r="I18" s="40" t="s">
        <v>10</v>
      </c>
      <c r="J18" s="40" t="s">
        <v>10</v>
      </c>
      <c r="K18" s="9" t="s">
        <v>10</v>
      </c>
      <c r="L18" s="9" t="s">
        <v>10</v>
      </c>
      <c r="M18" s="25"/>
      <c r="N18" s="25"/>
      <c r="O18" s="41"/>
      <c r="P18" s="41"/>
    </row>
    <row r="19" spans="1:16" x14ac:dyDescent="0.2">
      <c r="A19"/>
      <c r="C19" s="8">
        <v>1</v>
      </c>
      <c r="D19" s="8">
        <v>1</v>
      </c>
      <c r="E19" s="24">
        <v>0</v>
      </c>
      <c r="F19" s="24">
        <v>1</v>
      </c>
      <c r="G19" s="12">
        <v>0</v>
      </c>
      <c r="H19" s="12">
        <v>1</v>
      </c>
      <c r="I19" s="40">
        <v>0</v>
      </c>
      <c r="J19" s="40">
        <v>1</v>
      </c>
      <c r="K19" s="9">
        <v>0</v>
      </c>
      <c r="L19" s="9">
        <v>0</v>
      </c>
      <c r="M19" s="25"/>
      <c r="N19" s="25"/>
      <c r="O19" s="41"/>
      <c r="P19" s="41"/>
    </row>
    <row r="20" spans="1:16" x14ac:dyDescent="0.2">
      <c r="A20"/>
      <c r="C20" s="8" t="s">
        <v>16</v>
      </c>
      <c r="D20" s="8">
        <v>2</v>
      </c>
      <c r="E20" s="24" t="s">
        <v>16</v>
      </c>
      <c r="F20" s="24">
        <v>1</v>
      </c>
      <c r="G20" s="12" t="s">
        <v>16</v>
      </c>
      <c r="H20" s="12">
        <v>1</v>
      </c>
      <c r="I20" s="40" t="s">
        <v>16</v>
      </c>
      <c r="J20" s="40">
        <v>1</v>
      </c>
      <c r="K20" s="9" t="s">
        <v>5</v>
      </c>
      <c r="L20" s="9">
        <v>1</v>
      </c>
      <c r="M20" s="25" t="s">
        <v>5</v>
      </c>
      <c r="N20" s="25">
        <v>1</v>
      </c>
      <c r="O20" s="41" t="s">
        <v>16</v>
      </c>
      <c r="P20" s="41">
        <f>IF(AND(B17&gt;=10,B17&lt;=50),1,IF(AND(B17&gt;50,B17&lt;=100),2,IF(AND(B17&gt;100,B17&lt;=150),3,"")))</f>
        <v>2</v>
      </c>
    </row>
    <row r="21" spans="1:16" x14ac:dyDescent="0.2">
      <c r="A21"/>
    </row>
    <row r="22" spans="1:16" ht="15.75" thickBot="1" x14ac:dyDescent="0.25">
      <c r="A22"/>
    </row>
    <row r="23" spans="1:16" ht="20.25" thickTop="1" thickBot="1" x14ac:dyDescent="0.3">
      <c r="A23" s="22">
        <v>4</v>
      </c>
      <c r="B23" s="23" t="s">
        <v>27</v>
      </c>
      <c r="C23" s="27" t="s">
        <v>2</v>
      </c>
      <c r="D23" s="26"/>
      <c r="E23" s="29" t="s">
        <v>1</v>
      </c>
      <c r="F23" s="28"/>
      <c r="G23" s="31" t="s">
        <v>28</v>
      </c>
      <c r="H23" s="30"/>
      <c r="I23" s="38" t="s">
        <v>3</v>
      </c>
      <c r="J23" s="39"/>
      <c r="K23" s="33" t="s">
        <v>4</v>
      </c>
      <c r="L23" s="32"/>
      <c r="M23" s="25" t="s">
        <v>31</v>
      </c>
      <c r="N23" s="25" t="s">
        <v>30</v>
      </c>
      <c r="O23" s="41" t="s">
        <v>32</v>
      </c>
      <c r="P23" s="41" t="s">
        <v>33</v>
      </c>
    </row>
    <row r="24" spans="1:16" ht="20.25" thickTop="1" thickBot="1" x14ac:dyDescent="0.3">
      <c r="A24"/>
      <c r="B24" s="23">
        <v>84</v>
      </c>
      <c r="C24" s="8">
        <v>35</v>
      </c>
      <c r="D24" s="8">
        <v>90</v>
      </c>
      <c r="E24" s="24">
        <v>35</v>
      </c>
      <c r="F24" s="24">
        <f>B24-3.2</f>
        <v>80.8</v>
      </c>
      <c r="G24" s="12">
        <f>C24-2</f>
        <v>33</v>
      </c>
      <c r="H24" s="12">
        <f>B24-3.2</f>
        <v>80.8</v>
      </c>
      <c r="I24" s="40">
        <f>E24-3</f>
        <v>32</v>
      </c>
      <c r="J24" s="40">
        <f>F24</f>
        <v>80.8</v>
      </c>
      <c r="K24" s="9">
        <v>7</v>
      </c>
      <c r="L24" s="9">
        <f>B24-3.2</f>
        <v>80.8</v>
      </c>
      <c r="M24" s="25">
        <f>F24+1.6</f>
        <v>82.399999999999991</v>
      </c>
      <c r="N24" s="25">
        <f>D24-0.8</f>
        <v>89.2</v>
      </c>
      <c r="O24" s="41">
        <f>IF(AND(B24&gt;=10,B24&lt;=50), B24-0.2, IF(AND(B24&gt;50,B24&lt;=100),B24/2-0.2, IF(AND(B24&gt;100,B24&lt;=150),B24/3-0.2, "")))</f>
        <v>41.8</v>
      </c>
      <c r="P24" s="41">
        <v>92</v>
      </c>
    </row>
    <row r="25" spans="1:16" ht="15.75" thickTop="1" x14ac:dyDescent="0.2">
      <c r="A25"/>
      <c r="C25" s="8" t="s">
        <v>10</v>
      </c>
      <c r="D25" s="8" t="s">
        <v>10</v>
      </c>
      <c r="E25" s="24" t="s">
        <v>10</v>
      </c>
      <c r="F25" s="24" t="s">
        <v>10</v>
      </c>
      <c r="G25" s="12" t="s">
        <v>10</v>
      </c>
      <c r="H25" s="12" t="s">
        <v>10</v>
      </c>
      <c r="I25" s="40" t="s">
        <v>10</v>
      </c>
      <c r="J25" s="40" t="s">
        <v>10</v>
      </c>
      <c r="K25" s="9" t="s">
        <v>10</v>
      </c>
      <c r="L25" s="9" t="s">
        <v>10</v>
      </c>
      <c r="M25" s="25"/>
      <c r="N25" s="25"/>
      <c r="O25" s="41"/>
      <c r="P25" s="41"/>
    </row>
    <row r="26" spans="1:16" x14ac:dyDescent="0.2">
      <c r="A26"/>
      <c r="C26" s="8">
        <v>1</v>
      </c>
      <c r="D26" s="8">
        <v>1</v>
      </c>
      <c r="E26" s="24">
        <v>0</v>
      </c>
      <c r="F26" s="24">
        <v>1</v>
      </c>
      <c r="G26" s="12">
        <v>0</v>
      </c>
      <c r="H26" s="12">
        <v>1</v>
      </c>
      <c r="I26" s="40">
        <v>0</v>
      </c>
      <c r="J26" s="40">
        <v>1</v>
      </c>
      <c r="K26" s="9">
        <v>0</v>
      </c>
      <c r="L26" s="9">
        <v>0</v>
      </c>
      <c r="M26" s="25"/>
      <c r="N26" s="25"/>
      <c r="O26" s="41"/>
      <c r="P26" s="41"/>
    </row>
    <row r="27" spans="1:16" x14ac:dyDescent="0.2">
      <c r="A27"/>
      <c r="C27" s="8" t="s">
        <v>16</v>
      </c>
      <c r="D27" s="8">
        <v>2</v>
      </c>
      <c r="E27" s="24" t="s">
        <v>16</v>
      </c>
      <c r="F27" s="24">
        <v>1</v>
      </c>
      <c r="G27" s="12" t="s">
        <v>16</v>
      </c>
      <c r="H27" s="12">
        <v>1</v>
      </c>
      <c r="I27" s="40" t="s">
        <v>16</v>
      </c>
      <c r="J27" s="40">
        <v>1</v>
      </c>
      <c r="K27" s="9" t="s">
        <v>5</v>
      </c>
      <c r="L27" s="9">
        <v>1</v>
      </c>
      <c r="M27" s="25" t="s">
        <v>5</v>
      </c>
      <c r="N27" s="25">
        <v>1</v>
      </c>
      <c r="O27" s="41" t="s">
        <v>16</v>
      </c>
      <c r="P27" s="41">
        <f>IF(AND(B24&gt;=10,B24&lt;=50),1,IF(AND(B24&gt;50,B24&lt;=100),2,IF(AND(B24&gt;100,B24&lt;=150),3,"")))</f>
        <v>2</v>
      </c>
    </row>
    <row r="28" spans="1:16" x14ac:dyDescent="0.2">
      <c r="A28"/>
    </row>
    <row r="29" spans="1:16" ht="15.75" thickBot="1" x14ac:dyDescent="0.25">
      <c r="A29"/>
    </row>
    <row r="30" spans="1:16" ht="20.25" thickTop="1" thickBot="1" x14ac:dyDescent="0.3">
      <c r="A30" s="22">
        <v>5</v>
      </c>
      <c r="B30" s="23" t="s">
        <v>27</v>
      </c>
      <c r="C30" s="27" t="s">
        <v>2</v>
      </c>
      <c r="D30" s="26"/>
      <c r="E30" s="29" t="s">
        <v>1</v>
      </c>
      <c r="F30" s="28"/>
      <c r="G30" s="31" t="s">
        <v>28</v>
      </c>
      <c r="H30" s="30"/>
      <c r="I30" s="38" t="s">
        <v>3</v>
      </c>
      <c r="J30" s="39"/>
      <c r="K30" s="33" t="s">
        <v>4</v>
      </c>
      <c r="L30" s="32"/>
      <c r="M30" s="25" t="s">
        <v>31</v>
      </c>
      <c r="N30" s="25" t="s">
        <v>30</v>
      </c>
      <c r="O30" s="41" t="s">
        <v>32</v>
      </c>
      <c r="P30" s="41" t="s">
        <v>33</v>
      </c>
    </row>
    <row r="31" spans="1:16" ht="20.25" thickTop="1" thickBot="1" x14ac:dyDescent="0.3">
      <c r="A31"/>
      <c r="B31" s="23">
        <v>84</v>
      </c>
      <c r="C31" s="8">
        <v>35</v>
      </c>
      <c r="D31" s="8">
        <v>90</v>
      </c>
      <c r="E31" s="24">
        <v>35</v>
      </c>
      <c r="F31" s="24">
        <f>B31-3.2</f>
        <v>80.8</v>
      </c>
      <c r="G31" s="12">
        <f>C31-2</f>
        <v>33</v>
      </c>
      <c r="H31" s="12">
        <f>B31-3.2</f>
        <v>80.8</v>
      </c>
      <c r="I31" s="40">
        <f>E31-3</f>
        <v>32</v>
      </c>
      <c r="J31" s="40">
        <f>F31</f>
        <v>80.8</v>
      </c>
      <c r="K31" s="9">
        <v>7</v>
      </c>
      <c r="L31" s="9">
        <f>B31-3.2</f>
        <v>80.8</v>
      </c>
      <c r="M31" s="25">
        <f>F31+1.6</f>
        <v>82.399999999999991</v>
      </c>
      <c r="N31" s="25">
        <f>D31-0.8</f>
        <v>89.2</v>
      </c>
      <c r="O31" s="41">
        <f>IF(AND(B31&gt;=10,B31&lt;=50), B31-0.2, IF(AND(B31&gt;50,B31&lt;=100),B31/2-0.2, IF(AND(B31&gt;100,B31&lt;=150),B31/3-0.2, "")))</f>
        <v>41.8</v>
      </c>
      <c r="P31" s="41">
        <v>92</v>
      </c>
    </row>
    <row r="32" spans="1:16" ht="15.75" thickTop="1" x14ac:dyDescent="0.2">
      <c r="A32"/>
      <c r="C32" s="8" t="s">
        <v>10</v>
      </c>
      <c r="D32" s="8" t="s">
        <v>10</v>
      </c>
      <c r="E32" s="24" t="s">
        <v>10</v>
      </c>
      <c r="F32" s="24" t="s">
        <v>10</v>
      </c>
      <c r="G32" s="12" t="s">
        <v>10</v>
      </c>
      <c r="H32" s="12" t="s">
        <v>10</v>
      </c>
      <c r="I32" s="40" t="s">
        <v>10</v>
      </c>
      <c r="J32" s="40" t="s">
        <v>10</v>
      </c>
      <c r="K32" s="9" t="s">
        <v>10</v>
      </c>
      <c r="L32" s="9" t="s">
        <v>10</v>
      </c>
      <c r="M32" s="25"/>
      <c r="N32" s="25"/>
      <c r="O32" s="41"/>
      <c r="P32" s="41"/>
    </row>
    <row r="33" spans="1:16" x14ac:dyDescent="0.2">
      <c r="A33"/>
      <c r="C33" s="8">
        <v>1</v>
      </c>
      <c r="D33" s="8">
        <v>1</v>
      </c>
      <c r="E33" s="24">
        <v>0</v>
      </c>
      <c r="F33" s="24">
        <v>1</v>
      </c>
      <c r="G33" s="12">
        <v>0</v>
      </c>
      <c r="H33" s="12">
        <v>1</v>
      </c>
      <c r="I33" s="40">
        <v>0</v>
      </c>
      <c r="J33" s="40">
        <v>1</v>
      </c>
      <c r="K33" s="9">
        <v>0</v>
      </c>
      <c r="L33" s="9">
        <v>0</v>
      </c>
      <c r="M33" s="25"/>
      <c r="N33" s="25"/>
      <c r="O33" s="41"/>
      <c r="P33" s="41"/>
    </row>
    <row r="34" spans="1:16" x14ac:dyDescent="0.2">
      <c r="A34"/>
      <c r="C34" s="8" t="s">
        <v>16</v>
      </c>
      <c r="D34" s="8">
        <v>2</v>
      </c>
      <c r="E34" s="24" t="s">
        <v>16</v>
      </c>
      <c r="F34" s="24">
        <v>1</v>
      </c>
      <c r="G34" s="12" t="s">
        <v>16</v>
      </c>
      <c r="H34" s="12">
        <v>1</v>
      </c>
      <c r="I34" s="40" t="s">
        <v>16</v>
      </c>
      <c r="J34" s="40">
        <v>1</v>
      </c>
      <c r="K34" s="9" t="s">
        <v>5</v>
      </c>
      <c r="L34" s="9">
        <v>1</v>
      </c>
      <c r="M34" s="25" t="s">
        <v>5</v>
      </c>
      <c r="N34" s="25">
        <v>1</v>
      </c>
      <c r="O34" s="41" t="s">
        <v>16</v>
      </c>
      <c r="P34" s="41">
        <f>IF(AND(B31&gt;=10,B31&lt;=50),1,IF(AND(B31&gt;50,B31&lt;=100),2,IF(AND(B31&gt;100,B31&lt;=150),3,"")))</f>
        <v>2</v>
      </c>
    </row>
    <row r="35" spans="1:16" x14ac:dyDescent="0.2">
      <c r="A35"/>
    </row>
    <row r="36" spans="1:16" ht="15.75" thickBot="1" x14ac:dyDescent="0.25">
      <c r="A36"/>
    </row>
    <row r="37" spans="1:16" ht="20.25" thickTop="1" thickBot="1" x14ac:dyDescent="0.3">
      <c r="A37" s="22">
        <v>6</v>
      </c>
      <c r="B37" s="23" t="s">
        <v>27</v>
      </c>
      <c r="C37" s="27" t="s">
        <v>2</v>
      </c>
      <c r="D37" s="26"/>
      <c r="E37" s="29" t="s">
        <v>1</v>
      </c>
      <c r="F37" s="28"/>
      <c r="G37" s="31" t="s">
        <v>28</v>
      </c>
      <c r="H37" s="30"/>
      <c r="I37" s="38" t="s">
        <v>3</v>
      </c>
      <c r="J37" s="39"/>
      <c r="K37" s="33" t="s">
        <v>4</v>
      </c>
      <c r="L37" s="32"/>
      <c r="M37" s="25" t="s">
        <v>31</v>
      </c>
      <c r="N37" s="25" t="s">
        <v>30</v>
      </c>
      <c r="O37" s="41" t="s">
        <v>32</v>
      </c>
      <c r="P37" s="41" t="s">
        <v>33</v>
      </c>
    </row>
    <row r="38" spans="1:16" ht="20.25" thickTop="1" thickBot="1" x14ac:dyDescent="0.3">
      <c r="A38"/>
      <c r="B38" s="23">
        <v>84</v>
      </c>
      <c r="C38" s="8">
        <v>35</v>
      </c>
      <c r="D38" s="8">
        <v>90</v>
      </c>
      <c r="E38" s="24">
        <v>35</v>
      </c>
      <c r="F38" s="24">
        <f>B38-3.2</f>
        <v>80.8</v>
      </c>
      <c r="G38" s="12">
        <f>C38-2</f>
        <v>33</v>
      </c>
      <c r="H38" s="12">
        <f>B38-3.2</f>
        <v>80.8</v>
      </c>
      <c r="I38" s="40">
        <f>E38-3</f>
        <v>32</v>
      </c>
      <c r="J38" s="40">
        <f>F38</f>
        <v>80.8</v>
      </c>
      <c r="K38" s="9">
        <v>7</v>
      </c>
      <c r="L38" s="9">
        <f>B38-3.2</f>
        <v>80.8</v>
      </c>
      <c r="M38" s="25">
        <f>F38+1.6</f>
        <v>82.399999999999991</v>
      </c>
      <c r="N38" s="25">
        <f>D38-0.8</f>
        <v>89.2</v>
      </c>
      <c r="O38" s="41">
        <f>IF(AND(B38&gt;=10,B38&lt;=50), B38-0.2, IF(AND(B38&gt;50,B38&lt;=100),B38/2-0.2, IF(AND(B38&gt;100,B38&lt;=150),B38/3-0.2, "")))</f>
        <v>41.8</v>
      </c>
      <c r="P38" s="41">
        <v>92</v>
      </c>
    </row>
    <row r="39" spans="1:16" ht="15.75" thickTop="1" x14ac:dyDescent="0.2">
      <c r="C39" s="8" t="s">
        <v>10</v>
      </c>
      <c r="D39" s="8" t="s">
        <v>10</v>
      </c>
      <c r="E39" s="24" t="s">
        <v>10</v>
      </c>
      <c r="F39" s="24" t="s">
        <v>10</v>
      </c>
      <c r="G39" s="12" t="s">
        <v>10</v>
      </c>
      <c r="H39" s="12" t="s">
        <v>10</v>
      </c>
      <c r="I39" s="40" t="s">
        <v>10</v>
      </c>
      <c r="J39" s="40" t="s">
        <v>10</v>
      </c>
      <c r="K39" s="9" t="s">
        <v>10</v>
      </c>
      <c r="L39" s="9" t="s">
        <v>10</v>
      </c>
      <c r="M39" s="25"/>
      <c r="N39" s="25"/>
      <c r="O39" s="41"/>
      <c r="P39" s="41"/>
    </row>
    <row r="40" spans="1:16" x14ac:dyDescent="0.2">
      <c r="C40" s="8">
        <v>1</v>
      </c>
      <c r="D40" s="8">
        <v>1</v>
      </c>
      <c r="E40" s="24">
        <v>0</v>
      </c>
      <c r="F40" s="24">
        <v>1</v>
      </c>
      <c r="G40" s="12">
        <v>0</v>
      </c>
      <c r="H40" s="12">
        <v>1</v>
      </c>
      <c r="I40" s="40">
        <v>0</v>
      </c>
      <c r="J40" s="40">
        <v>1</v>
      </c>
      <c r="K40" s="9">
        <v>0</v>
      </c>
      <c r="L40" s="9">
        <v>0</v>
      </c>
      <c r="M40" s="25"/>
      <c r="N40" s="25"/>
      <c r="O40" s="41"/>
      <c r="P40" s="41"/>
    </row>
    <row r="41" spans="1:16" x14ac:dyDescent="0.2">
      <c r="C41" s="8" t="s">
        <v>16</v>
      </c>
      <c r="D41" s="8">
        <v>2</v>
      </c>
      <c r="E41" s="24" t="s">
        <v>16</v>
      </c>
      <c r="F41" s="24">
        <v>1</v>
      </c>
      <c r="G41" s="12" t="s">
        <v>16</v>
      </c>
      <c r="H41" s="12">
        <v>1</v>
      </c>
      <c r="I41" s="40" t="s">
        <v>16</v>
      </c>
      <c r="J41" s="40">
        <v>1</v>
      </c>
      <c r="K41" s="9" t="s">
        <v>5</v>
      </c>
      <c r="L41" s="9">
        <v>1</v>
      </c>
      <c r="M41" s="25" t="s">
        <v>5</v>
      </c>
      <c r="N41" s="25">
        <v>1</v>
      </c>
      <c r="O41" s="41" t="s">
        <v>16</v>
      </c>
      <c r="P41" s="41">
        <f>IF(AND(B38&gt;=10,B38&lt;=50),1,IF(AND(B38&gt;50,B38&lt;=100),2,IF(AND(B38&gt;100,B38&lt;=150),3,"")))</f>
        <v>2</v>
      </c>
    </row>
    <row r="43" spans="1:16" ht="15.75" thickBot="1" x14ac:dyDescent="0.25"/>
    <row r="44" spans="1:16" ht="20.25" thickTop="1" thickBot="1" x14ac:dyDescent="0.3">
      <c r="A44" s="22">
        <v>7</v>
      </c>
      <c r="B44" s="23" t="s">
        <v>27</v>
      </c>
      <c r="C44" s="27" t="s">
        <v>2</v>
      </c>
      <c r="D44" s="26"/>
      <c r="E44" s="29" t="s">
        <v>1</v>
      </c>
      <c r="F44" s="28"/>
      <c r="G44" s="31" t="s">
        <v>28</v>
      </c>
      <c r="H44" s="30"/>
      <c r="I44" s="38" t="s">
        <v>3</v>
      </c>
      <c r="J44" s="39"/>
      <c r="K44" s="33" t="s">
        <v>4</v>
      </c>
      <c r="L44" s="32"/>
      <c r="M44" s="25" t="s">
        <v>31</v>
      </c>
      <c r="N44" s="25" t="s">
        <v>30</v>
      </c>
      <c r="O44" s="41" t="s">
        <v>32</v>
      </c>
      <c r="P44" s="41" t="s">
        <v>33</v>
      </c>
    </row>
    <row r="45" spans="1:16" ht="20.25" thickTop="1" thickBot="1" x14ac:dyDescent="0.3">
      <c r="B45" s="23">
        <v>84</v>
      </c>
      <c r="C45" s="8">
        <v>35</v>
      </c>
      <c r="D45" s="8">
        <v>90</v>
      </c>
      <c r="E45" s="24">
        <v>35</v>
      </c>
      <c r="F45" s="24">
        <f>B45-3.2</f>
        <v>80.8</v>
      </c>
      <c r="G45" s="12">
        <f>C45-2</f>
        <v>33</v>
      </c>
      <c r="H45" s="12">
        <f>B45-3.2</f>
        <v>80.8</v>
      </c>
      <c r="I45" s="40">
        <f>E45-3</f>
        <v>32</v>
      </c>
      <c r="J45" s="40">
        <f>F45</f>
        <v>80.8</v>
      </c>
      <c r="K45" s="9">
        <v>7</v>
      </c>
      <c r="L45" s="9">
        <f>B45-3.2</f>
        <v>80.8</v>
      </c>
      <c r="M45" s="25">
        <f>F45+1.6</f>
        <v>82.399999999999991</v>
      </c>
      <c r="N45" s="25">
        <f>D45-0.8</f>
        <v>89.2</v>
      </c>
      <c r="O45" s="41">
        <f>IF(AND(B45&gt;=10,B45&lt;=50), B45-0.2, IF(AND(B45&gt;50,B45&lt;=100),B45/2-0.2, IF(AND(B45&gt;100,B45&lt;=150),B45/3-0.2, "")))</f>
        <v>41.8</v>
      </c>
      <c r="P45" s="41">
        <v>92</v>
      </c>
    </row>
    <row r="46" spans="1:16" ht="15.75" thickTop="1" x14ac:dyDescent="0.2">
      <c r="C46" s="8" t="s">
        <v>10</v>
      </c>
      <c r="D46" s="8" t="s">
        <v>10</v>
      </c>
      <c r="E46" s="24" t="s">
        <v>10</v>
      </c>
      <c r="F46" s="24" t="s">
        <v>10</v>
      </c>
      <c r="G46" s="12" t="s">
        <v>10</v>
      </c>
      <c r="H46" s="12" t="s">
        <v>10</v>
      </c>
      <c r="I46" s="40" t="s">
        <v>10</v>
      </c>
      <c r="J46" s="40" t="s">
        <v>10</v>
      </c>
      <c r="K46" s="9" t="s">
        <v>10</v>
      </c>
      <c r="L46" s="9" t="s">
        <v>10</v>
      </c>
      <c r="M46" s="25"/>
      <c r="N46" s="25"/>
      <c r="O46" s="41"/>
      <c r="P46" s="41"/>
    </row>
    <row r="47" spans="1:16" x14ac:dyDescent="0.2">
      <c r="C47" s="8">
        <v>1</v>
      </c>
      <c r="D47" s="8">
        <v>1</v>
      </c>
      <c r="E47" s="24">
        <v>0</v>
      </c>
      <c r="F47" s="24">
        <v>1</v>
      </c>
      <c r="G47" s="12">
        <v>0</v>
      </c>
      <c r="H47" s="12">
        <v>1</v>
      </c>
      <c r="I47" s="40">
        <v>0</v>
      </c>
      <c r="J47" s="40">
        <v>1</v>
      </c>
      <c r="K47" s="9">
        <v>0</v>
      </c>
      <c r="L47" s="9">
        <v>0</v>
      </c>
      <c r="M47" s="25"/>
      <c r="N47" s="25"/>
      <c r="O47" s="41"/>
      <c r="P47" s="41"/>
    </row>
    <row r="48" spans="1:16" x14ac:dyDescent="0.2">
      <c r="C48" s="8" t="s">
        <v>16</v>
      </c>
      <c r="D48" s="8">
        <v>2</v>
      </c>
      <c r="E48" s="24" t="s">
        <v>16</v>
      </c>
      <c r="F48" s="24">
        <v>1</v>
      </c>
      <c r="G48" s="12" t="s">
        <v>16</v>
      </c>
      <c r="H48" s="12">
        <v>1</v>
      </c>
      <c r="I48" s="40" t="s">
        <v>16</v>
      </c>
      <c r="J48" s="40">
        <v>1</v>
      </c>
      <c r="K48" s="9" t="s">
        <v>5</v>
      </c>
      <c r="L48" s="9">
        <v>1</v>
      </c>
      <c r="M48" s="25" t="s">
        <v>5</v>
      </c>
      <c r="N48" s="25">
        <v>1</v>
      </c>
      <c r="O48" s="41" t="s">
        <v>16</v>
      </c>
      <c r="P48" s="41">
        <f>IF(AND(B45&gt;=10,B45&lt;=50),1,IF(AND(B45&gt;50,B45&lt;=100),2,IF(AND(B45&gt;100,B45&lt;=150),3,"")))</f>
        <v>2</v>
      </c>
    </row>
    <row r="50" spans="1:16" ht="15.75" thickBot="1" x14ac:dyDescent="0.25">
      <c r="E50" s="35"/>
    </row>
    <row r="51" spans="1:16" ht="20.25" thickTop="1" thickBot="1" x14ac:dyDescent="0.3">
      <c r="A51" s="22">
        <v>8</v>
      </c>
      <c r="B51" s="23" t="s">
        <v>27</v>
      </c>
      <c r="C51" s="27" t="s">
        <v>2</v>
      </c>
      <c r="D51" s="26"/>
      <c r="E51" s="34" t="s">
        <v>1</v>
      </c>
      <c r="F51" s="24"/>
      <c r="G51" s="31" t="s">
        <v>28</v>
      </c>
      <c r="H51" s="30"/>
      <c r="I51" s="38" t="s">
        <v>3</v>
      </c>
      <c r="J51" s="39"/>
      <c r="K51" s="33" t="s">
        <v>4</v>
      </c>
      <c r="L51" s="32"/>
      <c r="M51" s="25" t="s">
        <v>31</v>
      </c>
      <c r="N51" s="25" t="s">
        <v>30</v>
      </c>
      <c r="O51" s="41" t="s">
        <v>32</v>
      </c>
      <c r="P51" s="41" t="s">
        <v>33</v>
      </c>
    </row>
    <row r="52" spans="1:16" ht="20.25" thickTop="1" thickBot="1" x14ac:dyDescent="0.3">
      <c r="B52" s="23">
        <v>84</v>
      </c>
      <c r="C52" s="8">
        <v>35</v>
      </c>
      <c r="D52" s="8">
        <v>90</v>
      </c>
      <c r="E52" s="24">
        <v>35</v>
      </c>
      <c r="F52" s="24">
        <f>B52-3.2</f>
        <v>80.8</v>
      </c>
      <c r="G52" s="12">
        <f>C52-2</f>
        <v>33</v>
      </c>
      <c r="H52" s="12">
        <f>B52-3.2</f>
        <v>80.8</v>
      </c>
      <c r="I52" s="40">
        <f>E52-3</f>
        <v>32</v>
      </c>
      <c r="J52" s="40">
        <f>F52</f>
        <v>80.8</v>
      </c>
      <c r="K52" s="9">
        <v>7</v>
      </c>
      <c r="L52" s="9">
        <f>B52-3.2</f>
        <v>80.8</v>
      </c>
      <c r="M52" s="25">
        <f>F52+1.6</f>
        <v>82.399999999999991</v>
      </c>
      <c r="N52" s="25">
        <f>D52-0.8</f>
        <v>89.2</v>
      </c>
      <c r="O52" s="41">
        <f>IF(AND(B52&gt;=10,B52&lt;=50), B52-0.2, IF(AND(B52&gt;50,B52&lt;=100),B52/2-0.2, IF(AND(B52&gt;100,B52&lt;=150),B52/3-0.2, "")))</f>
        <v>41.8</v>
      </c>
      <c r="P52" s="41">
        <v>92</v>
      </c>
    </row>
    <row r="53" spans="1:16" ht="15.75" thickTop="1" x14ac:dyDescent="0.2">
      <c r="C53" s="8" t="s">
        <v>10</v>
      </c>
      <c r="D53" s="8" t="s">
        <v>10</v>
      </c>
      <c r="E53" s="24" t="s">
        <v>10</v>
      </c>
      <c r="F53" s="24" t="s">
        <v>10</v>
      </c>
      <c r="G53" s="12" t="s">
        <v>10</v>
      </c>
      <c r="H53" s="12" t="s">
        <v>10</v>
      </c>
      <c r="I53" s="40" t="s">
        <v>10</v>
      </c>
      <c r="J53" s="40" t="s">
        <v>10</v>
      </c>
      <c r="K53" s="9" t="s">
        <v>10</v>
      </c>
      <c r="L53" s="9" t="s">
        <v>10</v>
      </c>
      <c r="M53" s="25"/>
      <c r="N53" s="25"/>
      <c r="O53" s="41"/>
      <c r="P53" s="41"/>
    </row>
    <row r="54" spans="1:16" x14ac:dyDescent="0.2">
      <c r="C54" s="8">
        <v>1</v>
      </c>
      <c r="D54" s="8">
        <v>1</v>
      </c>
      <c r="E54" s="24">
        <v>0</v>
      </c>
      <c r="F54" s="24">
        <v>1</v>
      </c>
      <c r="G54" s="12">
        <v>0</v>
      </c>
      <c r="H54" s="12">
        <v>1</v>
      </c>
      <c r="I54" s="40">
        <v>0</v>
      </c>
      <c r="J54" s="40">
        <v>1</v>
      </c>
      <c r="K54" s="9">
        <v>0</v>
      </c>
      <c r="L54" s="9">
        <v>0</v>
      </c>
      <c r="M54" s="25"/>
      <c r="N54" s="25"/>
      <c r="O54" s="41"/>
      <c r="P54" s="41"/>
    </row>
    <row r="55" spans="1:16" x14ac:dyDescent="0.2">
      <c r="C55" s="8" t="s">
        <v>16</v>
      </c>
      <c r="D55" s="8">
        <v>2</v>
      </c>
      <c r="E55" s="24" t="s">
        <v>16</v>
      </c>
      <c r="F55" s="24">
        <v>1</v>
      </c>
      <c r="G55" s="12" t="s">
        <v>16</v>
      </c>
      <c r="H55" s="12">
        <v>1</v>
      </c>
      <c r="I55" s="40" t="s">
        <v>16</v>
      </c>
      <c r="J55" s="40">
        <v>1</v>
      </c>
      <c r="K55" s="9" t="s">
        <v>5</v>
      </c>
      <c r="L55" s="9">
        <v>1</v>
      </c>
      <c r="M55" s="25" t="s">
        <v>5</v>
      </c>
      <c r="N55" s="25">
        <v>1</v>
      </c>
      <c r="O55" s="41" t="s">
        <v>16</v>
      </c>
      <c r="P55" s="41">
        <f>IF(AND(B52&gt;=10,B52&lt;=50),1,IF(AND(B52&gt;50,B52&lt;=100),2,IF(AND(B52&gt;100,B52&lt;=150),3,"")))</f>
        <v>2</v>
      </c>
    </row>
    <row r="57" spans="1:16" ht="15.75" thickBot="1" x14ac:dyDescent="0.25"/>
    <row r="58" spans="1:16" ht="20.25" thickTop="1" thickBot="1" x14ac:dyDescent="0.3">
      <c r="A58" s="22">
        <v>9</v>
      </c>
      <c r="B58" s="23" t="s">
        <v>27</v>
      </c>
      <c r="C58" s="27" t="s">
        <v>2</v>
      </c>
      <c r="D58" s="26"/>
      <c r="E58" s="29" t="s">
        <v>1</v>
      </c>
      <c r="F58" s="28"/>
      <c r="G58" s="31" t="s">
        <v>28</v>
      </c>
      <c r="H58" s="30"/>
      <c r="I58" s="38" t="s">
        <v>3</v>
      </c>
      <c r="J58" s="39"/>
      <c r="K58" s="33" t="s">
        <v>4</v>
      </c>
      <c r="L58" s="32"/>
      <c r="M58" s="25" t="s">
        <v>31</v>
      </c>
      <c r="N58" s="25" t="s">
        <v>30</v>
      </c>
      <c r="O58" s="41" t="s">
        <v>32</v>
      </c>
      <c r="P58" s="41" t="s">
        <v>33</v>
      </c>
    </row>
    <row r="59" spans="1:16" ht="20.25" thickTop="1" thickBot="1" x14ac:dyDescent="0.3">
      <c r="B59" s="23">
        <v>84</v>
      </c>
      <c r="C59" s="8">
        <v>35</v>
      </c>
      <c r="D59" s="8">
        <v>90</v>
      </c>
      <c r="E59" s="24">
        <v>35</v>
      </c>
      <c r="F59" s="24">
        <f>B59-3.2</f>
        <v>80.8</v>
      </c>
      <c r="G59" s="12">
        <f>C59-2</f>
        <v>33</v>
      </c>
      <c r="H59" s="12">
        <f>B59-3.2</f>
        <v>80.8</v>
      </c>
      <c r="I59" s="40">
        <f>E59-3</f>
        <v>32</v>
      </c>
      <c r="J59" s="40">
        <f>F59</f>
        <v>80.8</v>
      </c>
      <c r="K59" s="9">
        <v>7</v>
      </c>
      <c r="L59" s="9">
        <f>B59-3.2</f>
        <v>80.8</v>
      </c>
      <c r="M59" s="25">
        <f>F59+1.6</f>
        <v>82.399999999999991</v>
      </c>
      <c r="N59" s="25">
        <f>D59-0.8</f>
        <v>89.2</v>
      </c>
      <c r="O59" s="41">
        <f>IF(AND(B59&gt;=10,B59&lt;=50), B59-0.2, IF(AND(B59&gt;50,B59&lt;=100),B59/2-0.2, IF(AND(B59&gt;100,B59&lt;=150),B59/3-0.2, "")))</f>
        <v>41.8</v>
      </c>
      <c r="P59" s="41">
        <v>92</v>
      </c>
    </row>
    <row r="60" spans="1:16" ht="15.75" thickTop="1" x14ac:dyDescent="0.2">
      <c r="C60" s="8" t="s">
        <v>10</v>
      </c>
      <c r="D60" s="8" t="s">
        <v>10</v>
      </c>
      <c r="E60" s="24" t="s">
        <v>10</v>
      </c>
      <c r="F60" s="24" t="s">
        <v>10</v>
      </c>
      <c r="G60" s="12" t="s">
        <v>10</v>
      </c>
      <c r="H60" s="12" t="s">
        <v>10</v>
      </c>
      <c r="I60" s="40" t="s">
        <v>10</v>
      </c>
      <c r="J60" s="40" t="s">
        <v>10</v>
      </c>
      <c r="K60" s="9" t="s">
        <v>10</v>
      </c>
      <c r="L60" s="9" t="s">
        <v>10</v>
      </c>
      <c r="M60" s="25"/>
      <c r="N60" s="25"/>
      <c r="O60" s="41"/>
      <c r="P60" s="41"/>
    </row>
    <row r="61" spans="1:16" x14ac:dyDescent="0.2">
      <c r="C61" s="8">
        <v>1</v>
      </c>
      <c r="D61" s="8">
        <v>1</v>
      </c>
      <c r="E61" s="24">
        <v>0</v>
      </c>
      <c r="F61" s="24">
        <v>1</v>
      </c>
      <c r="G61" s="12">
        <v>0</v>
      </c>
      <c r="H61" s="12">
        <v>1</v>
      </c>
      <c r="I61" s="40">
        <v>0</v>
      </c>
      <c r="J61" s="40">
        <v>1</v>
      </c>
      <c r="K61" s="9">
        <v>0</v>
      </c>
      <c r="L61" s="9">
        <v>0</v>
      </c>
      <c r="M61" s="25"/>
      <c r="N61" s="25"/>
      <c r="O61" s="41"/>
      <c r="P61" s="41"/>
    </row>
    <row r="62" spans="1:16" x14ac:dyDescent="0.2">
      <c r="C62" s="8" t="s">
        <v>16</v>
      </c>
      <c r="D62" s="8">
        <v>2</v>
      </c>
      <c r="E62" s="24" t="s">
        <v>16</v>
      </c>
      <c r="F62" s="24">
        <v>1</v>
      </c>
      <c r="G62" s="12" t="s">
        <v>16</v>
      </c>
      <c r="H62" s="12">
        <v>1</v>
      </c>
      <c r="I62" s="40" t="s">
        <v>16</v>
      </c>
      <c r="J62" s="40">
        <v>1</v>
      </c>
      <c r="K62" s="9" t="s">
        <v>5</v>
      </c>
      <c r="L62" s="9">
        <v>1</v>
      </c>
      <c r="M62" s="25" t="s">
        <v>5</v>
      </c>
      <c r="N62" s="25">
        <v>1</v>
      </c>
      <c r="O62" s="41" t="s">
        <v>16</v>
      </c>
      <c r="P62" s="41">
        <f>IF(AND(B59&gt;=10,B59&lt;=50),1,IF(AND(B59&gt;50,B59&lt;=100),2,IF(AND(B59&gt;100,B59&lt;=150),3,"")))</f>
        <v>2</v>
      </c>
    </row>
    <row r="64" spans="1:16" ht="15.75" thickBot="1" x14ac:dyDescent="0.25"/>
    <row r="65" spans="1:16" ht="20.25" thickTop="1" thickBot="1" x14ac:dyDescent="0.3">
      <c r="A65" s="22">
        <v>10</v>
      </c>
      <c r="B65" s="23" t="s">
        <v>27</v>
      </c>
      <c r="C65" s="27" t="s">
        <v>2</v>
      </c>
      <c r="D65" s="26"/>
      <c r="E65" s="29" t="s">
        <v>1</v>
      </c>
      <c r="F65" s="28"/>
      <c r="G65" s="31" t="s">
        <v>28</v>
      </c>
      <c r="H65" s="30"/>
      <c r="I65" s="38" t="s">
        <v>3</v>
      </c>
      <c r="J65" s="39"/>
      <c r="K65" s="33" t="s">
        <v>4</v>
      </c>
      <c r="L65" s="32"/>
      <c r="M65" s="25" t="s">
        <v>31</v>
      </c>
      <c r="N65" s="25" t="s">
        <v>30</v>
      </c>
      <c r="O65" s="41" t="s">
        <v>32</v>
      </c>
      <c r="P65" s="41" t="s">
        <v>33</v>
      </c>
    </row>
    <row r="66" spans="1:16" ht="20.25" thickTop="1" thickBot="1" x14ac:dyDescent="0.3">
      <c r="B66" s="23">
        <v>84</v>
      </c>
      <c r="C66" s="8">
        <v>35</v>
      </c>
      <c r="D66" s="8">
        <v>90</v>
      </c>
      <c r="E66" s="24">
        <v>35</v>
      </c>
      <c r="F66" s="24">
        <f>B66-3.2</f>
        <v>80.8</v>
      </c>
      <c r="G66" s="12">
        <f>C66-2</f>
        <v>33</v>
      </c>
      <c r="H66" s="12">
        <f>B66-3.2</f>
        <v>80.8</v>
      </c>
      <c r="I66" s="40">
        <f>E66-3</f>
        <v>32</v>
      </c>
      <c r="J66" s="40">
        <f>F66</f>
        <v>80.8</v>
      </c>
      <c r="K66" s="9">
        <v>7</v>
      </c>
      <c r="L66" s="9">
        <f>B66-3.2</f>
        <v>80.8</v>
      </c>
      <c r="M66" s="25">
        <f>F66+1.6</f>
        <v>82.399999999999991</v>
      </c>
      <c r="N66" s="25">
        <f>D66-0.8</f>
        <v>89.2</v>
      </c>
      <c r="O66" s="41">
        <f>IF(AND(B66&gt;=10,B66&lt;=50), B66-0.2, IF(AND(B66&gt;50,B66&lt;=100),B66/2-0.2, IF(AND(B66&gt;100,B66&lt;=150),B66/3-0.2, "")))</f>
        <v>41.8</v>
      </c>
      <c r="P66" s="41">
        <v>92</v>
      </c>
    </row>
    <row r="67" spans="1:16" ht="15.75" thickTop="1" x14ac:dyDescent="0.2">
      <c r="C67" s="8" t="s">
        <v>10</v>
      </c>
      <c r="D67" s="8" t="s">
        <v>10</v>
      </c>
      <c r="E67" s="24" t="s">
        <v>10</v>
      </c>
      <c r="F67" s="24" t="s">
        <v>10</v>
      </c>
      <c r="G67" s="12" t="s">
        <v>10</v>
      </c>
      <c r="H67" s="12" t="s">
        <v>10</v>
      </c>
      <c r="I67" s="40" t="s">
        <v>10</v>
      </c>
      <c r="J67" s="40" t="s">
        <v>10</v>
      </c>
      <c r="K67" s="9" t="s">
        <v>10</v>
      </c>
      <c r="L67" s="9" t="s">
        <v>10</v>
      </c>
      <c r="M67" s="25"/>
      <c r="N67" s="25"/>
      <c r="O67" s="41"/>
      <c r="P67" s="41"/>
    </row>
    <row r="68" spans="1:16" x14ac:dyDescent="0.2">
      <c r="C68" s="8">
        <v>1</v>
      </c>
      <c r="D68" s="8">
        <v>1</v>
      </c>
      <c r="E68" s="24">
        <v>0</v>
      </c>
      <c r="F68" s="24">
        <v>1</v>
      </c>
      <c r="G68" s="12">
        <v>0</v>
      </c>
      <c r="H68" s="12">
        <v>1</v>
      </c>
      <c r="I68" s="40">
        <v>0</v>
      </c>
      <c r="J68" s="40">
        <v>1</v>
      </c>
      <c r="K68" s="9">
        <v>0</v>
      </c>
      <c r="L68" s="9">
        <v>0</v>
      </c>
      <c r="M68" s="25"/>
      <c r="N68" s="25"/>
      <c r="O68" s="41"/>
      <c r="P68" s="41"/>
    </row>
    <row r="69" spans="1:16" x14ac:dyDescent="0.2">
      <c r="C69" s="8" t="s">
        <v>16</v>
      </c>
      <c r="D69" s="8">
        <v>2</v>
      </c>
      <c r="E69" s="24" t="s">
        <v>16</v>
      </c>
      <c r="F69" s="24">
        <v>1</v>
      </c>
      <c r="G69" s="12" t="s">
        <v>16</v>
      </c>
      <c r="H69" s="12">
        <v>1</v>
      </c>
      <c r="I69" s="40" t="s">
        <v>16</v>
      </c>
      <c r="J69" s="40">
        <v>1</v>
      </c>
      <c r="K69" s="9" t="s">
        <v>5</v>
      </c>
      <c r="L69" s="9">
        <v>1</v>
      </c>
      <c r="M69" s="25" t="s">
        <v>5</v>
      </c>
      <c r="N69" s="25">
        <v>1</v>
      </c>
      <c r="O69" s="41" t="s">
        <v>16</v>
      </c>
      <c r="P69" s="41">
        <f>IF(AND(B66&gt;=10,B66&lt;=50),1,IF(AND(B66&gt;50,B66&lt;=100),2,IF(AND(B66&gt;100,B66&lt;=150),3,"")))</f>
        <v>2</v>
      </c>
    </row>
    <row r="71" spans="1:16" ht="15.75" thickBot="1" x14ac:dyDescent="0.25"/>
    <row r="72" spans="1:16" ht="20.25" thickTop="1" thickBot="1" x14ac:dyDescent="0.3">
      <c r="A72" s="22">
        <v>11</v>
      </c>
      <c r="B72" s="23" t="s">
        <v>27</v>
      </c>
      <c r="C72" s="27" t="s">
        <v>2</v>
      </c>
      <c r="D72" s="26"/>
      <c r="E72" s="29" t="s">
        <v>1</v>
      </c>
      <c r="F72" s="28"/>
      <c r="G72" s="31" t="s">
        <v>28</v>
      </c>
      <c r="H72" s="30"/>
      <c r="I72" s="38" t="s">
        <v>3</v>
      </c>
      <c r="J72" s="39"/>
      <c r="K72" s="33" t="s">
        <v>4</v>
      </c>
      <c r="L72" s="32"/>
      <c r="M72" s="25" t="s">
        <v>31</v>
      </c>
      <c r="N72" s="25" t="s">
        <v>30</v>
      </c>
      <c r="O72" s="41" t="s">
        <v>32</v>
      </c>
      <c r="P72" s="41" t="s">
        <v>33</v>
      </c>
    </row>
    <row r="73" spans="1:16" ht="20.25" thickTop="1" thickBot="1" x14ac:dyDescent="0.3">
      <c r="B73" s="23">
        <v>84</v>
      </c>
      <c r="C73" s="8">
        <v>35</v>
      </c>
      <c r="D73" s="8">
        <v>90</v>
      </c>
      <c r="E73" s="24">
        <v>35</v>
      </c>
      <c r="F73" s="24">
        <f>B73-3.2</f>
        <v>80.8</v>
      </c>
      <c r="G73" s="12">
        <f>C73-2</f>
        <v>33</v>
      </c>
      <c r="H73" s="12">
        <f>B73-3.2</f>
        <v>80.8</v>
      </c>
      <c r="I73" s="40">
        <f>E73-3</f>
        <v>32</v>
      </c>
      <c r="J73" s="40">
        <f>F73</f>
        <v>80.8</v>
      </c>
      <c r="K73" s="9">
        <v>7</v>
      </c>
      <c r="L73" s="9">
        <f>B73-3.2</f>
        <v>80.8</v>
      </c>
      <c r="M73" s="25">
        <f>F73+1.6</f>
        <v>82.399999999999991</v>
      </c>
      <c r="N73" s="25">
        <f>D73-0.8</f>
        <v>89.2</v>
      </c>
      <c r="O73" s="41">
        <f>IF(AND(B73&gt;=10,B73&lt;=50), B73-0.2, IF(AND(B73&gt;50,B73&lt;=100),B73/2-0.2, IF(AND(B73&gt;100,B73&lt;=150),B73/3-0.2, "")))</f>
        <v>41.8</v>
      </c>
      <c r="P73" s="41">
        <v>92</v>
      </c>
    </row>
    <row r="74" spans="1:16" ht="15.75" thickTop="1" x14ac:dyDescent="0.2">
      <c r="C74" s="8" t="s">
        <v>10</v>
      </c>
      <c r="D74" s="8" t="s">
        <v>10</v>
      </c>
      <c r="E74" s="24" t="s">
        <v>10</v>
      </c>
      <c r="F74" s="24" t="s">
        <v>10</v>
      </c>
      <c r="G74" s="12" t="s">
        <v>10</v>
      </c>
      <c r="H74" s="12" t="s">
        <v>10</v>
      </c>
      <c r="I74" s="40" t="s">
        <v>10</v>
      </c>
      <c r="J74" s="40" t="s">
        <v>10</v>
      </c>
      <c r="K74" s="9" t="s">
        <v>10</v>
      </c>
      <c r="L74" s="9" t="s">
        <v>10</v>
      </c>
      <c r="M74" s="25"/>
      <c r="N74" s="25"/>
      <c r="O74" s="41"/>
      <c r="P74" s="41"/>
    </row>
    <row r="75" spans="1:16" x14ac:dyDescent="0.2">
      <c r="C75" s="8">
        <v>1</v>
      </c>
      <c r="D75" s="8">
        <v>1</v>
      </c>
      <c r="E75" s="24">
        <v>0</v>
      </c>
      <c r="F75" s="24">
        <v>1</v>
      </c>
      <c r="G75" s="12">
        <v>0</v>
      </c>
      <c r="H75" s="12">
        <v>1</v>
      </c>
      <c r="I75" s="40">
        <v>0</v>
      </c>
      <c r="J75" s="40">
        <v>1</v>
      </c>
      <c r="K75" s="9">
        <v>0</v>
      </c>
      <c r="L75" s="9">
        <v>0</v>
      </c>
      <c r="M75" s="25"/>
      <c r="N75" s="25"/>
      <c r="O75" s="41"/>
      <c r="P75" s="41"/>
    </row>
    <row r="76" spans="1:16" x14ac:dyDescent="0.2">
      <c r="C76" s="8" t="s">
        <v>16</v>
      </c>
      <c r="D76" s="8">
        <v>2</v>
      </c>
      <c r="E76" s="24" t="s">
        <v>16</v>
      </c>
      <c r="F76" s="24">
        <v>1</v>
      </c>
      <c r="G76" s="12" t="s">
        <v>16</v>
      </c>
      <c r="H76" s="12">
        <v>1</v>
      </c>
      <c r="I76" s="40" t="s">
        <v>16</v>
      </c>
      <c r="J76" s="40">
        <v>1</v>
      </c>
      <c r="K76" s="9" t="s">
        <v>5</v>
      </c>
      <c r="L76" s="9">
        <v>1</v>
      </c>
      <c r="M76" s="25" t="s">
        <v>5</v>
      </c>
      <c r="N76" s="25">
        <v>1</v>
      </c>
      <c r="O76" s="41" t="s">
        <v>16</v>
      </c>
      <c r="P76" s="41">
        <f>IF(AND(B73&gt;=10,B73&lt;=50),1,IF(AND(B73&gt;50,B73&lt;=100),2,IF(AND(B73&gt;100,B73&lt;=150),3,"")))</f>
        <v>2</v>
      </c>
    </row>
    <row r="78" spans="1:16" ht="15.75" thickBot="1" x14ac:dyDescent="0.25"/>
    <row r="79" spans="1:16" ht="20.25" thickTop="1" thickBot="1" x14ac:dyDescent="0.3">
      <c r="A79" s="22">
        <v>12</v>
      </c>
      <c r="B79" s="23" t="s">
        <v>27</v>
      </c>
      <c r="C79" s="27" t="s">
        <v>2</v>
      </c>
      <c r="D79" s="26"/>
      <c r="E79" s="29" t="s">
        <v>1</v>
      </c>
      <c r="F79" s="28"/>
      <c r="G79" s="31" t="s">
        <v>28</v>
      </c>
      <c r="H79" s="30"/>
      <c r="I79" s="38" t="s">
        <v>3</v>
      </c>
      <c r="J79" s="39"/>
      <c r="K79" s="33" t="s">
        <v>4</v>
      </c>
      <c r="L79" s="32"/>
      <c r="M79" s="25" t="s">
        <v>31</v>
      </c>
      <c r="N79" s="25" t="s">
        <v>30</v>
      </c>
      <c r="O79" s="41" t="s">
        <v>32</v>
      </c>
      <c r="P79" s="41" t="s">
        <v>33</v>
      </c>
    </row>
    <row r="80" spans="1:16" ht="20.25" thickTop="1" thickBot="1" x14ac:dyDescent="0.3">
      <c r="B80" s="23">
        <v>84</v>
      </c>
      <c r="C80" s="8">
        <v>35</v>
      </c>
      <c r="D80" s="8">
        <v>50</v>
      </c>
      <c r="E80" s="24">
        <v>35</v>
      </c>
      <c r="F80" s="24">
        <f>B80-3.2</f>
        <v>80.8</v>
      </c>
      <c r="G80" s="12">
        <f>C80-2</f>
        <v>33</v>
      </c>
      <c r="H80" s="12">
        <f>B80-3.2</f>
        <v>80.8</v>
      </c>
      <c r="I80" s="40">
        <f>E80-3</f>
        <v>32</v>
      </c>
      <c r="J80" s="40">
        <f>F80</f>
        <v>80.8</v>
      </c>
      <c r="K80" s="9">
        <v>7</v>
      </c>
      <c r="L80" s="9">
        <f>B80-3.2</f>
        <v>80.8</v>
      </c>
      <c r="M80" s="25">
        <f>F80+1.6</f>
        <v>82.399999999999991</v>
      </c>
      <c r="N80" s="25">
        <f>D80-0.8</f>
        <v>49.2</v>
      </c>
      <c r="O80" s="41">
        <f>IF(AND(B80&gt;=10,B80&lt;=50), B80-0.2, IF(AND(B80&gt;50,B80&lt;=100),B80/2-0.2, IF(AND(B80&gt;100,B80&lt;=150),B80/3-0.2, "")))</f>
        <v>41.8</v>
      </c>
      <c r="P80" s="41">
        <v>92</v>
      </c>
    </row>
    <row r="81" spans="1:16" ht="15.75" thickTop="1" x14ac:dyDescent="0.2">
      <c r="C81" s="8" t="s">
        <v>10</v>
      </c>
      <c r="D81" s="8" t="s">
        <v>10</v>
      </c>
      <c r="E81" s="24" t="s">
        <v>10</v>
      </c>
      <c r="F81" s="24" t="s">
        <v>10</v>
      </c>
      <c r="G81" s="12" t="s">
        <v>10</v>
      </c>
      <c r="H81" s="12" t="s">
        <v>10</v>
      </c>
      <c r="I81" s="40" t="s">
        <v>10</v>
      </c>
      <c r="J81" s="40" t="s">
        <v>10</v>
      </c>
      <c r="K81" s="9" t="s">
        <v>10</v>
      </c>
      <c r="L81" s="9" t="s">
        <v>10</v>
      </c>
      <c r="M81" s="25"/>
      <c r="N81" s="25"/>
      <c r="O81" s="41"/>
      <c r="P81" s="41"/>
    </row>
    <row r="82" spans="1:16" x14ac:dyDescent="0.2">
      <c r="C82" s="8">
        <v>1</v>
      </c>
      <c r="D82" s="8">
        <v>1</v>
      </c>
      <c r="E82" s="24">
        <v>0</v>
      </c>
      <c r="F82" s="24">
        <v>1</v>
      </c>
      <c r="G82" s="12">
        <v>0</v>
      </c>
      <c r="H82" s="12">
        <v>1</v>
      </c>
      <c r="I82" s="40">
        <v>0</v>
      </c>
      <c r="J82" s="40">
        <v>1</v>
      </c>
      <c r="K82" s="9">
        <v>0</v>
      </c>
      <c r="L82" s="9">
        <v>0</v>
      </c>
      <c r="M82" s="25"/>
      <c r="N82" s="25"/>
      <c r="O82" s="41"/>
      <c r="P82" s="41"/>
    </row>
    <row r="83" spans="1:16" x14ac:dyDescent="0.2">
      <c r="C83" s="8" t="s">
        <v>16</v>
      </c>
      <c r="D83" s="8">
        <v>2</v>
      </c>
      <c r="E83" s="24" t="s">
        <v>16</v>
      </c>
      <c r="F83" s="24">
        <v>1</v>
      </c>
      <c r="G83" s="12" t="s">
        <v>16</v>
      </c>
      <c r="H83" s="12">
        <v>1</v>
      </c>
      <c r="I83" s="40" t="s">
        <v>16</v>
      </c>
      <c r="J83" s="40">
        <v>1</v>
      </c>
      <c r="K83" s="9" t="s">
        <v>5</v>
      </c>
      <c r="L83" s="9">
        <v>1</v>
      </c>
      <c r="M83" s="25" t="s">
        <v>5</v>
      </c>
      <c r="N83" s="25">
        <v>1</v>
      </c>
      <c r="O83" s="41" t="s">
        <v>16</v>
      </c>
      <c r="P83" s="41">
        <f>IF(AND(B80&gt;=10,B80&lt;=50),1,IF(AND(B80&gt;50,B80&lt;=100),2,IF(AND(B80&gt;100,B80&lt;=150),3,"")))</f>
        <v>2</v>
      </c>
    </row>
    <row r="85" spans="1:16" ht="15.75" thickBot="1" x14ac:dyDescent="0.25"/>
    <row r="86" spans="1:16" ht="20.25" thickTop="1" thickBot="1" x14ac:dyDescent="0.3">
      <c r="A86" s="22">
        <v>13</v>
      </c>
      <c r="B86" s="23" t="s">
        <v>27</v>
      </c>
      <c r="C86" s="27" t="s">
        <v>2</v>
      </c>
      <c r="D86" s="26"/>
      <c r="E86" s="29" t="s">
        <v>1</v>
      </c>
      <c r="F86" s="28"/>
      <c r="G86" s="31" t="s">
        <v>28</v>
      </c>
      <c r="H86" s="30"/>
      <c r="I86" s="38" t="s">
        <v>3</v>
      </c>
      <c r="J86" s="39"/>
      <c r="K86" s="33" t="s">
        <v>4</v>
      </c>
      <c r="L86" s="32"/>
      <c r="M86" s="25" t="s">
        <v>31</v>
      </c>
      <c r="N86" s="25" t="s">
        <v>30</v>
      </c>
      <c r="O86" s="41" t="s">
        <v>32</v>
      </c>
      <c r="P86" s="41" t="s">
        <v>33</v>
      </c>
    </row>
    <row r="87" spans="1:16" ht="20.25" thickTop="1" thickBot="1" x14ac:dyDescent="0.3">
      <c r="B87" s="23">
        <v>84</v>
      </c>
      <c r="C87" s="8">
        <v>35</v>
      </c>
      <c r="D87" s="8">
        <v>90</v>
      </c>
      <c r="E87" s="24">
        <v>35</v>
      </c>
      <c r="F87" s="24">
        <f>B87-3.2</f>
        <v>80.8</v>
      </c>
      <c r="G87" s="12">
        <f>C87-2</f>
        <v>33</v>
      </c>
      <c r="H87" s="12">
        <f>B87-3.2</f>
        <v>80.8</v>
      </c>
      <c r="I87" s="40">
        <f>E87-3</f>
        <v>32</v>
      </c>
      <c r="J87" s="40">
        <f>F87</f>
        <v>80.8</v>
      </c>
      <c r="K87" s="9">
        <v>7</v>
      </c>
      <c r="L87" s="9">
        <f>B87-3.2</f>
        <v>80.8</v>
      </c>
      <c r="M87" s="25">
        <f>F87+1.6</f>
        <v>82.399999999999991</v>
      </c>
      <c r="N87" s="25">
        <f>D87-0.8</f>
        <v>89.2</v>
      </c>
      <c r="O87" s="41">
        <f>IF(AND(B87&gt;=10,B87&lt;=50), B87-0.2, IF(AND(B87&gt;50,B87&lt;=100),B87/2-0.2, IF(AND(B87&gt;100,B87&lt;=150),B87/3-0.2, "")))</f>
        <v>41.8</v>
      </c>
      <c r="P87" s="41">
        <v>92</v>
      </c>
    </row>
    <row r="88" spans="1:16" ht="15.75" thickTop="1" x14ac:dyDescent="0.2">
      <c r="C88" s="8" t="s">
        <v>10</v>
      </c>
      <c r="D88" s="8" t="s">
        <v>10</v>
      </c>
      <c r="E88" s="24" t="s">
        <v>10</v>
      </c>
      <c r="F88" s="24" t="s">
        <v>10</v>
      </c>
      <c r="G88" s="12" t="s">
        <v>10</v>
      </c>
      <c r="H88" s="12" t="s">
        <v>10</v>
      </c>
      <c r="I88" s="40" t="s">
        <v>10</v>
      </c>
      <c r="J88" s="40" t="s">
        <v>10</v>
      </c>
      <c r="K88" s="9" t="s">
        <v>10</v>
      </c>
      <c r="L88" s="9" t="s">
        <v>10</v>
      </c>
      <c r="M88" s="25"/>
      <c r="N88" s="25"/>
      <c r="O88" s="41"/>
      <c r="P88" s="41"/>
    </row>
    <row r="89" spans="1:16" x14ac:dyDescent="0.2">
      <c r="C89" s="8">
        <v>1</v>
      </c>
      <c r="D89" s="8">
        <v>1</v>
      </c>
      <c r="E89" s="24">
        <v>0</v>
      </c>
      <c r="F89" s="24">
        <v>1</v>
      </c>
      <c r="G89" s="12">
        <v>0</v>
      </c>
      <c r="H89" s="12">
        <v>1</v>
      </c>
      <c r="I89" s="40">
        <v>0</v>
      </c>
      <c r="J89" s="40">
        <v>1</v>
      </c>
      <c r="K89" s="9">
        <v>0</v>
      </c>
      <c r="L89" s="9">
        <v>0</v>
      </c>
      <c r="M89" s="25"/>
      <c r="N89" s="25"/>
      <c r="O89" s="41"/>
      <c r="P89" s="41"/>
    </row>
    <row r="90" spans="1:16" x14ac:dyDescent="0.2">
      <c r="C90" s="8" t="s">
        <v>16</v>
      </c>
      <c r="D90" s="8">
        <v>2</v>
      </c>
      <c r="E90" s="24" t="s">
        <v>16</v>
      </c>
      <c r="F90" s="24">
        <v>1</v>
      </c>
      <c r="G90" s="12" t="s">
        <v>16</v>
      </c>
      <c r="H90" s="12">
        <v>1</v>
      </c>
      <c r="I90" s="40" t="s">
        <v>16</v>
      </c>
      <c r="J90" s="40">
        <v>1</v>
      </c>
      <c r="K90" s="9" t="s">
        <v>5</v>
      </c>
      <c r="L90" s="9">
        <v>1</v>
      </c>
      <c r="M90" s="25" t="s">
        <v>5</v>
      </c>
      <c r="N90" s="25">
        <v>1</v>
      </c>
      <c r="O90" s="41" t="s">
        <v>16</v>
      </c>
      <c r="P90" s="41">
        <f>IF(AND(B87&gt;=10,B87&lt;=50),1,IF(AND(B87&gt;50,B87&lt;=100),2,IF(AND(B87&gt;100,B87&lt;=150),3,"")))</f>
        <v>2</v>
      </c>
    </row>
    <row r="92" spans="1:16" ht="15.75" thickBot="1" x14ac:dyDescent="0.25"/>
    <row r="93" spans="1:16" ht="20.25" thickTop="1" thickBot="1" x14ac:dyDescent="0.3">
      <c r="A93" s="22">
        <v>14</v>
      </c>
      <c r="B93" s="23" t="s">
        <v>27</v>
      </c>
      <c r="C93" s="27" t="s">
        <v>2</v>
      </c>
      <c r="D93" s="26"/>
      <c r="E93" s="29" t="s">
        <v>1</v>
      </c>
      <c r="F93" s="28"/>
      <c r="G93" s="31" t="s">
        <v>28</v>
      </c>
      <c r="H93" s="30"/>
      <c r="I93" s="38" t="s">
        <v>3</v>
      </c>
      <c r="J93" s="39"/>
      <c r="K93" s="33" t="s">
        <v>4</v>
      </c>
      <c r="L93" s="32"/>
      <c r="M93" s="25" t="s">
        <v>31</v>
      </c>
      <c r="N93" s="25" t="s">
        <v>30</v>
      </c>
      <c r="O93" s="41" t="s">
        <v>32</v>
      </c>
      <c r="P93" s="41" t="s">
        <v>33</v>
      </c>
    </row>
    <row r="94" spans="1:16" ht="20.25" thickTop="1" thickBot="1" x14ac:dyDescent="0.3">
      <c r="B94" s="23">
        <v>84</v>
      </c>
      <c r="C94" s="8">
        <v>35</v>
      </c>
      <c r="D94" s="8">
        <v>90</v>
      </c>
      <c r="E94" s="24">
        <v>35</v>
      </c>
      <c r="F94" s="24">
        <f>B94-3.2</f>
        <v>80.8</v>
      </c>
      <c r="G94" s="12">
        <f>C94-2</f>
        <v>33</v>
      </c>
      <c r="H94" s="12">
        <f>B94-3.2</f>
        <v>80.8</v>
      </c>
      <c r="I94" s="40">
        <f>E94-3</f>
        <v>32</v>
      </c>
      <c r="J94" s="40">
        <f>F94</f>
        <v>80.8</v>
      </c>
      <c r="K94" s="9">
        <v>7</v>
      </c>
      <c r="L94" s="9">
        <f>B94-3.2</f>
        <v>80.8</v>
      </c>
      <c r="M94" s="25">
        <f>F94+1.6</f>
        <v>82.399999999999991</v>
      </c>
      <c r="N94" s="25">
        <f>D94-0.8</f>
        <v>89.2</v>
      </c>
      <c r="O94" s="41">
        <f>IF(AND(B94&gt;=10,B94&lt;=50), B94-0.2, IF(AND(B94&gt;50,B94&lt;=100),B94/2-0.2, IF(AND(B94&gt;100,B94&lt;=150),B94/3-0.2, "")))</f>
        <v>41.8</v>
      </c>
      <c r="P94" s="41">
        <v>92</v>
      </c>
    </row>
    <row r="95" spans="1:16" ht="15.75" thickTop="1" x14ac:dyDescent="0.2">
      <c r="C95" s="8" t="s">
        <v>10</v>
      </c>
      <c r="D95" s="8" t="s">
        <v>10</v>
      </c>
      <c r="E95" s="24" t="s">
        <v>10</v>
      </c>
      <c r="F95" s="24" t="s">
        <v>10</v>
      </c>
      <c r="G95" s="12" t="s">
        <v>10</v>
      </c>
      <c r="H95" s="12" t="s">
        <v>10</v>
      </c>
      <c r="I95" s="40" t="s">
        <v>10</v>
      </c>
      <c r="J95" s="40" t="s">
        <v>10</v>
      </c>
      <c r="K95" s="9" t="s">
        <v>10</v>
      </c>
      <c r="L95" s="9" t="s">
        <v>10</v>
      </c>
      <c r="M95" s="25"/>
      <c r="N95" s="25"/>
      <c r="O95" s="41"/>
      <c r="P95" s="41"/>
    </row>
    <row r="96" spans="1:16" x14ac:dyDescent="0.2">
      <c r="C96" s="8">
        <v>1</v>
      </c>
      <c r="D96" s="8">
        <v>1</v>
      </c>
      <c r="E96" s="24">
        <v>0</v>
      </c>
      <c r="F96" s="24">
        <v>1</v>
      </c>
      <c r="G96" s="12">
        <v>0</v>
      </c>
      <c r="H96" s="12">
        <v>1</v>
      </c>
      <c r="I96" s="40">
        <v>0</v>
      </c>
      <c r="J96" s="40">
        <v>1</v>
      </c>
      <c r="K96" s="9">
        <v>0</v>
      </c>
      <c r="L96" s="9">
        <v>0</v>
      </c>
      <c r="M96" s="25"/>
      <c r="N96" s="25"/>
      <c r="O96" s="41"/>
      <c r="P96" s="41"/>
    </row>
    <row r="97" spans="1:16" x14ac:dyDescent="0.2">
      <c r="C97" s="8" t="s">
        <v>16</v>
      </c>
      <c r="D97" s="8">
        <v>2</v>
      </c>
      <c r="E97" s="24" t="s">
        <v>16</v>
      </c>
      <c r="F97" s="24">
        <v>1</v>
      </c>
      <c r="G97" s="12" t="s">
        <v>16</v>
      </c>
      <c r="H97" s="12">
        <v>1</v>
      </c>
      <c r="I97" s="40" t="s">
        <v>16</v>
      </c>
      <c r="J97" s="40">
        <v>1</v>
      </c>
      <c r="K97" s="9" t="s">
        <v>5</v>
      </c>
      <c r="L97" s="9">
        <v>1</v>
      </c>
      <c r="M97" s="25" t="s">
        <v>5</v>
      </c>
      <c r="N97" s="25">
        <v>1</v>
      </c>
      <c r="O97" s="41" t="s">
        <v>16</v>
      </c>
      <c r="P97" s="41">
        <f>IF(AND(B94&gt;=10,B94&lt;=50),1,IF(AND(B94&gt;50,B94&lt;=100),2,IF(AND(B94&gt;100,B94&lt;=150),3,"")))</f>
        <v>2</v>
      </c>
    </row>
    <row r="99" spans="1:16" ht="15.75" thickBot="1" x14ac:dyDescent="0.25"/>
    <row r="100" spans="1:16" ht="20.25" thickTop="1" thickBot="1" x14ac:dyDescent="0.3">
      <c r="A100" s="22">
        <v>15</v>
      </c>
      <c r="B100" s="23" t="s">
        <v>27</v>
      </c>
      <c r="C100" s="27" t="s">
        <v>2</v>
      </c>
      <c r="D100" s="26"/>
      <c r="E100" s="29" t="s">
        <v>1</v>
      </c>
      <c r="F100" s="28"/>
      <c r="G100" s="31" t="s">
        <v>28</v>
      </c>
      <c r="H100" s="30"/>
      <c r="I100" s="38" t="s">
        <v>3</v>
      </c>
      <c r="J100" s="39"/>
      <c r="K100" s="33" t="s">
        <v>4</v>
      </c>
      <c r="L100" s="32"/>
      <c r="M100" s="25" t="s">
        <v>31</v>
      </c>
      <c r="N100" s="25" t="s">
        <v>30</v>
      </c>
      <c r="O100" s="41" t="s">
        <v>32</v>
      </c>
      <c r="P100" s="41" t="s">
        <v>33</v>
      </c>
    </row>
    <row r="101" spans="1:16" ht="20.25" thickTop="1" thickBot="1" x14ac:dyDescent="0.3">
      <c r="B101" s="23">
        <v>84</v>
      </c>
      <c r="C101" s="8">
        <v>35</v>
      </c>
      <c r="D101" s="8">
        <v>90</v>
      </c>
      <c r="E101" s="24">
        <v>35</v>
      </c>
      <c r="F101" s="24">
        <f>B101-3.2</f>
        <v>80.8</v>
      </c>
      <c r="G101" s="12">
        <f>C101-2</f>
        <v>33</v>
      </c>
      <c r="H101" s="12">
        <f>B101-3.2</f>
        <v>80.8</v>
      </c>
      <c r="I101" s="40">
        <f>E101-3</f>
        <v>32</v>
      </c>
      <c r="J101" s="40">
        <f>F101</f>
        <v>80.8</v>
      </c>
      <c r="K101" s="9">
        <v>7</v>
      </c>
      <c r="L101" s="9">
        <f>B101-3.2</f>
        <v>80.8</v>
      </c>
      <c r="M101" s="25">
        <f>F101+1.6</f>
        <v>82.399999999999991</v>
      </c>
      <c r="N101" s="25">
        <f>D101-0.8</f>
        <v>89.2</v>
      </c>
      <c r="O101" s="41">
        <f>IF(AND(B101&gt;=10,B101&lt;=50), B101-0.2, IF(AND(B101&gt;50,B101&lt;=100),B101/2-0.2, IF(AND(B101&gt;100,B101&lt;=150),B101/3-0.2, "")))</f>
        <v>41.8</v>
      </c>
      <c r="P101" s="41">
        <v>92</v>
      </c>
    </row>
    <row r="102" spans="1:16" ht="15.75" thickTop="1" x14ac:dyDescent="0.2">
      <c r="C102" s="8" t="s">
        <v>10</v>
      </c>
      <c r="D102" s="8" t="s">
        <v>10</v>
      </c>
      <c r="E102" s="24" t="s">
        <v>10</v>
      </c>
      <c r="F102" s="24" t="s">
        <v>10</v>
      </c>
      <c r="G102" s="12" t="s">
        <v>10</v>
      </c>
      <c r="H102" s="12" t="s">
        <v>10</v>
      </c>
      <c r="I102" s="40" t="s">
        <v>10</v>
      </c>
      <c r="J102" s="40" t="s">
        <v>10</v>
      </c>
      <c r="K102" s="9" t="s">
        <v>10</v>
      </c>
      <c r="L102" s="9" t="s">
        <v>10</v>
      </c>
      <c r="M102" s="25"/>
      <c r="N102" s="25"/>
      <c r="O102" s="41"/>
      <c r="P102" s="41"/>
    </row>
    <row r="103" spans="1:16" x14ac:dyDescent="0.2">
      <c r="C103" s="8">
        <v>1</v>
      </c>
      <c r="D103" s="8">
        <v>1</v>
      </c>
      <c r="E103" s="24">
        <v>0</v>
      </c>
      <c r="F103" s="24">
        <v>1</v>
      </c>
      <c r="G103" s="12">
        <v>0</v>
      </c>
      <c r="H103" s="12">
        <v>1</v>
      </c>
      <c r="I103" s="40">
        <v>0</v>
      </c>
      <c r="J103" s="40">
        <v>1</v>
      </c>
      <c r="K103" s="9">
        <v>0</v>
      </c>
      <c r="L103" s="9">
        <v>0</v>
      </c>
      <c r="M103" s="25"/>
      <c r="N103" s="25"/>
      <c r="O103" s="41"/>
      <c r="P103" s="41"/>
    </row>
    <row r="104" spans="1:16" x14ac:dyDescent="0.2">
      <c r="C104" s="8" t="s">
        <v>16</v>
      </c>
      <c r="D104" s="8">
        <v>2</v>
      </c>
      <c r="E104" s="24" t="s">
        <v>16</v>
      </c>
      <c r="F104" s="24">
        <v>1</v>
      </c>
      <c r="G104" s="12" t="s">
        <v>16</v>
      </c>
      <c r="H104" s="12">
        <v>1</v>
      </c>
      <c r="I104" s="40" t="s">
        <v>16</v>
      </c>
      <c r="J104" s="40">
        <v>1</v>
      </c>
      <c r="K104" s="9" t="s">
        <v>5</v>
      </c>
      <c r="L104" s="9">
        <v>1</v>
      </c>
      <c r="M104" s="25" t="s">
        <v>5</v>
      </c>
      <c r="N104" s="25">
        <v>1</v>
      </c>
      <c r="O104" s="41" t="s">
        <v>16</v>
      </c>
      <c r="P104" s="41">
        <f>IF(AND(B101&gt;=10,B101&lt;=50),1,IF(AND(B101&gt;50,B101&lt;=100),2,IF(AND(B101&gt;100,B101&lt;=150),3,"")))</f>
        <v>2</v>
      </c>
    </row>
    <row r="106" spans="1:16" ht="15.75" thickBot="1" x14ac:dyDescent="0.25"/>
    <row r="107" spans="1:16" ht="20.25" thickTop="1" thickBot="1" x14ac:dyDescent="0.3">
      <c r="A107" s="22">
        <v>16</v>
      </c>
      <c r="B107" s="23" t="s">
        <v>27</v>
      </c>
      <c r="C107" s="27" t="s">
        <v>2</v>
      </c>
      <c r="D107" s="26"/>
      <c r="E107" s="29" t="s">
        <v>1</v>
      </c>
      <c r="F107" s="28"/>
      <c r="G107" s="31" t="s">
        <v>28</v>
      </c>
      <c r="H107" s="30"/>
      <c r="I107" s="38" t="s">
        <v>3</v>
      </c>
      <c r="J107" s="39"/>
      <c r="K107" s="33" t="s">
        <v>4</v>
      </c>
      <c r="L107" s="32"/>
      <c r="M107" s="25" t="s">
        <v>31</v>
      </c>
      <c r="N107" s="25" t="s">
        <v>30</v>
      </c>
      <c r="O107" s="41" t="s">
        <v>32</v>
      </c>
      <c r="P107" s="41" t="s">
        <v>33</v>
      </c>
    </row>
    <row r="108" spans="1:16" ht="20.25" thickTop="1" thickBot="1" x14ac:dyDescent="0.3">
      <c r="B108" s="23">
        <v>84</v>
      </c>
      <c r="C108" s="8">
        <v>35</v>
      </c>
      <c r="D108" s="8">
        <v>90</v>
      </c>
      <c r="E108" s="24">
        <v>35</v>
      </c>
      <c r="F108" s="24">
        <f>B108-3.2</f>
        <v>80.8</v>
      </c>
      <c r="G108" s="12">
        <f>C108-2</f>
        <v>33</v>
      </c>
      <c r="H108" s="12">
        <f>B108-3.2</f>
        <v>80.8</v>
      </c>
      <c r="I108" s="40">
        <f>E108-3</f>
        <v>32</v>
      </c>
      <c r="J108" s="40">
        <f>F108</f>
        <v>80.8</v>
      </c>
      <c r="K108" s="9">
        <v>7</v>
      </c>
      <c r="L108" s="9">
        <f>B108-3.2</f>
        <v>80.8</v>
      </c>
      <c r="M108" s="25">
        <f>F108+1.6</f>
        <v>82.399999999999991</v>
      </c>
      <c r="N108" s="25">
        <f>D108-0.8</f>
        <v>89.2</v>
      </c>
      <c r="O108" s="41">
        <f>IF(AND(B108&gt;=10,B108&lt;=50), B108-0.2, IF(AND(B108&gt;50,B108&lt;=100),B108/2-0.2, IF(AND(B108&gt;100,B108&lt;=150),B108/3-0.2, "")))</f>
        <v>41.8</v>
      </c>
      <c r="P108" s="41">
        <v>92</v>
      </c>
    </row>
    <row r="109" spans="1:16" ht="15.75" thickTop="1" x14ac:dyDescent="0.2">
      <c r="C109" s="8" t="s">
        <v>10</v>
      </c>
      <c r="D109" s="8" t="s">
        <v>10</v>
      </c>
      <c r="E109" s="24" t="s">
        <v>10</v>
      </c>
      <c r="F109" s="24" t="s">
        <v>10</v>
      </c>
      <c r="G109" s="12" t="s">
        <v>10</v>
      </c>
      <c r="H109" s="12" t="s">
        <v>10</v>
      </c>
      <c r="I109" s="40" t="s">
        <v>10</v>
      </c>
      <c r="J109" s="40" t="s">
        <v>10</v>
      </c>
      <c r="K109" s="9" t="s">
        <v>10</v>
      </c>
      <c r="L109" s="9" t="s">
        <v>10</v>
      </c>
      <c r="M109" s="25"/>
      <c r="N109" s="25"/>
      <c r="O109" s="41"/>
      <c r="P109" s="41"/>
    </row>
    <row r="110" spans="1:16" x14ac:dyDescent="0.2">
      <c r="C110" s="8">
        <v>1</v>
      </c>
      <c r="D110" s="8">
        <v>1</v>
      </c>
      <c r="E110" s="24">
        <v>0</v>
      </c>
      <c r="F110" s="24">
        <v>1</v>
      </c>
      <c r="G110" s="12">
        <v>0</v>
      </c>
      <c r="H110" s="12">
        <v>1</v>
      </c>
      <c r="I110" s="40">
        <v>0</v>
      </c>
      <c r="J110" s="40">
        <v>1</v>
      </c>
      <c r="K110" s="9">
        <v>0</v>
      </c>
      <c r="L110" s="9">
        <v>0</v>
      </c>
      <c r="M110" s="25"/>
      <c r="N110" s="25"/>
      <c r="O110" s="41"/>
      <c r="P110" s="41"/>
    </row>
    <row r="111" spans="1:16" x14ac:dyDescent="0.2">
      <c r="C111" s="8" t="s">
        <v>16</v>
      </c>
      <c r="D111" s="8">
        <v>2</v>
      </c>
      <c r="E111" s="24" t="s">
        <v>16</v>
      </c>
      <c r="F111" s="24">
        <v>1</v>
      </c>
      <c r="G111" s="12" t="s">
        <v>16</v>
      </c>
      <c r="H111" s="12">
        <v>1</v>
      </c>
      <c r="I111" s="40" t="s">
        <v>16</v>
      </c>
      <c r="J111" s="40">
        <v>1</v>
      </c>
      <c r="K111" s="9" t="s">
        <v>5</v>
      </c>
      <c r="L111" s="9">
        <v>1</v>
      </c>
      <c r="M111" s="25" t="s">
        <v>5</v>
      </c>
      <c r="N111" s="25">
        <v>1</v>
      </c>
      <c r="O111" s="41" t="s">
        <v>16</v>
      </c>
      <c r="P111" s="41">
        <f>IF(AND(B108&gt;=10,B108&lt;=50),1,IF(AND(B108&gt;50,B108&lt;=100),2,IF(AND(B108&gt;100,B108&lt;=150),3,"")))</f>
        <v>2</v>
      </c>
    </row>
    <row r="113" spans="1:16" ht="15.75" thickBot="1" x14ac:dyDescent="0.25"/>
    <row r="114" spans="1:16" ht="20.25" thickTop="1" thickBot="1" x14ac:dyDescent="0.3">
      <c r="A114" s="22">
        <v>17</v>
      </c>
      <c r="B114" s="23" t="s">
        <v>27</v>
      </c>
      <c r="C114" s="27" t="s">
        <v>2</v>
      </c>
      <c r="D114" s="26"/>
      <c r="E114" s="29" t="s">
        <v>1</v>
      </c>
      <c r="F114" s="28"/>
      <c r="G114" s="31" t="s">
        <v>28</v>
      </c>
      <c r="H114" s="30"/>
      <c r="I114" s="38" t="s">
        <v>3</v>
      </c>
      <c r="J114" s="39"/>
      <c r="K114" s="33" t="s">
        <v>4</v>
      </c>
      <c r="L114" s="32"/>
      <c r="M114" s="25" t="s">
        <v>31</v>
      </c>
      <c r="N114" s="25" t="s">
        <v>30</v>
      </c>
      <c r="O114" s="41" t="s">
        <v>32</v>
      </c>
      <c r="P114" s="41" t="s">
        <v>33</v>
      </c>
    </row>
    <row r="115" spans="1:16" ht="20.25" thickTop="1" thickBot="1" x14ac:dyDescent="0.3">
      <c r="B115" s="23">
        <v>84</v>
      </c>
      <c r="C115" s="8">
        <v>35</v>
      </c>
      <c r="D115" s="8">
        <v>90</v>
      </c>
      <c r="E115" s="24">
        <v>35</v>
      </c>
      <c r="F115" s="24">
        <f>B115-3.2</f>
        <v>80.8</v>
      </c>
      <c r="G115" s="12">
        <f>C115-2</f>
        <v>33</v>
      </c>
      <c r="H115" s="12">
        <f>B115-3.2</f>
        <v>80.8</v>
      </c>
      <c r="I115" s="40">
        <f>E115-3</f>
        <v>32</v>
      </c>
      <c r="J115" s="40">
        <f>F115</f>
        <v>80.8</v>
      </c>
      <c r="K115" s="9">
        <v>7</v>
      </c>
      <c r="L115" s="9">
        <f>B115-3.2</f>
        <v>80.8</v>
      </c>
      <c r="M115" s="25">
        <f>F115+1.6</f>
        <v>82.399999999999991</v>
      </c>
      <c r="N115" s="25">
        <f>D115-0.8</f>
        <v>89.2</v>
      </c>
      <c r="O115" s="41">
        <f>IF(AND(B115&gt;=10,B115&lt;=50), B115-0.2, IF(AND(B115&gt;50,B115&lt;=100),B115/2-0.2, IF(AND(B115&gt;100,B115&lt;=150),B115/3-0.2, "")))</f>
        <v>41.8</v>
      </c>
      <c r="P115" s="41">
        <v>92</v>
      </c>
    </row>
    <row r="116" spans="1:16" ht="15.75" thickTop="1" x14ac:dyDescent="0.2">
      <c r="C116" s="8" t="s">
        <v>10</v>
      </c>
      <c r="D116" s="8" t="s">
        <v>10</v>
      </c>
      <c r="E116" s="24" t="s">
        <v>10</v>
      </c>
      <c r="F116" s="24" t="s">
        <v>10</v>
      </c>
      <c r="G116" s="12" t="s">
        <v>10</v>
      </c>
      <c r="H116" s="12" t="s">
        <v>10</v>
      </c>
      <c r="I116" s="40" t="s">
        <v>10</v>
      </c>
      <c r="J116" s="40" t="s">
        <v>10</v>
      </c>
      <c r="K116" s="9" t="s">
        <v>10</v>
      </c>
      <c r="L116" s="9" t="s">
        <v>10</v>
      </c>
      <c r="M116" s="25"/>
      <c r="N116" s="25"/>
      <c r="O116" s="41"/>
      <c r="P116" s="41"/>
    </row>
    <row r="117" spans="1:16" x14ac:dyDescent="0.2">
      <c r="C117" s="8">
        <v>1</v>
      </c>
      <c r="D117" s="8">
        <v>1</v>
      </c>
      <c r="E117" s="24">
        <v>0</v>
      </c>
      <c r="F117" s="24">
        <v>1</v>
      </c>
      <c r="G117" s="12">
        <v>0</v>
      </c>
      <c r="H117" s="12">
        <v>1</v>
      </c>
      <c r="I117" s="40">
        <v>0</v>
      </c>
      <c r="J117" s="40">
        <v>1</v>
      </c>
      <c r="K117" s="9">
        <v>0</v>
      </c>
      <c r="L117" s="9">
        <v>0</v>
      </c>
      <c r="M117" s="25"/>
      <c r="N117" s="25"/>
      <c r="O117" s="41"/>
      <c r="P117" s="41"/>
    </row>
    <row r="118" spans="1:16" x14ac:dyDescent="0.2">
      <c r="C118" s="8" t="s">
        <v>16</v>
      </c>
      <c r="D118" s="8">
        <v>2</v>
      </c>
      <c r="E118" s="24" t="s">
        <v>16</v>
      </c>
      <c r="F118" s="24">
        <v>1</v>
      </c>
      <c r="G118" s="12" t="s">
        <v>16</v>
      </c>
      <c r="H118" s="12">
        <v>1</v>
      </c>
      <c r="I118" s="40" t="s">
        <v>16</v>
      </c>
      <c r="J118" s="40">
        <v>1</v>
      </c>
      <c r="K118" s="9" t="s">
        <v>5</v>
      </c>
      <c r="L118" s="9">
        <v>1</v>
      </c>
      <c r="M118" s="25" t="s">
        <v>5</v>
      </c>
      <c r="N118" s="25">
        <v>1</v>
      </c>
      <c r="O118" s="41" t="s">
        <v>16</v>
      </c>
      <c r="P118" s="41">
        <f>IF(AND(B115&gt;=10,B115&lt;=50),1,IF(AND(B115&gt;50,B115&lt;=100),2,IF(AND(B115&gt;100,B115&lt;=150),3,"")))</f>
        <v>2</v>
      </c>
    </row>
    <row r="120" spans="1:16" ht="15.75" thickBot="1" x14ac:dyDescent="0.25"/>
    <row r="121" spans="1:16" ht="20.25" thickTop="1" thickBot="1" x14ac:dyDescent="0.3">
      <c r="A121" s="22">
        <v>18</v>
      </c>
      <c r="B121" s="23" t="s">
        <v>27</v>
      </c>
      <c r="C121" s="27" t="s">
        <v>2</v>
      </c>
      <c r="D121" s="26"/>
      <c r="E121" s="29" t="s">
        <v>1</v>
      </c>
      <c r="F121" s="28"/>
      <c r="G121" s="31" t="s">
        <v>28</v>
      </c>
      <c r="H121" s="30"/>
      <c r="I121" s="38" t="s">
        <v>3</v>
      </c>
      <c r="J121" s="39"/>
      <c r="K121" s="33" t="s">
        <v>4</v>
      </c>
      <c r="L121" s="32"/>
      <c r="M121" s="25" t="s">
        <v>31</v>
      </c>
      <c r="N121" s="25" t="s">
        <v>30</v>
      </c>
      <c r="O121" s="41" t="s">
        <v>32</v>
      </c>
      <c r="P121" s="41" t="s">
        <v>33</v>
      </c>
    </row>
    <row r="122" spans="1:16" ht="20.25" thickTop="1" thickBot="1" x14ac:dyDescent="0.3">
      <c r="B122" s="23">
        <v>84</v>
      </c>
      <c r="C122" s="8">
        <v>35</v>
      </c>
      <c r="D122" s="8">
        <v>90</v>
      </c>
      <c r="E122" s="24">
        <v>35</v>
      </c>
      <c r="F122" s="24">
        <f>B122-3.2</f>
        <v>80.8</v>
      </c>
      <c r="G122" s="12">
        <f>C122-2</f>
        <v>33</v>
      </c>
      <c r="H122" s="12">
        <f>B122-3.2</f>
        <v>80.8</v>
      </c>
      <c r="I122" s="40">
        <f>E122-3</f>
        <v>32</v>
      </c>
      <c r="J122" s="40">
        <f>F122</f>
        <v>80.8</v>
      </c>
      <c r="K122" s="9">
        <v>7</v>
      </c>
      <c r="L122" s="9">
        <f>B122-3.2</f>
        <v>80.8</v>
      </c>
      <c r="M122" s="25">
        <f>F122+1.6</f>
        <v>82.399999999999991</v>
      </c>
      <c r="N122" s="25">
        <f>D122-0.8</f>
        <v>89.2</v>
      </c>
      <c r="O122" s="41">
        <f>IF(AND(B122&gt;=10,B122&lt;=50), B122-0.2, IF(AND(B122&gt;50,B122&lt;=100),B122/2-0.2, IF(AND(B122&gt;100,B122&lt;=150),B122/3-0.2, "")))</f>
        <v>41.8</v>
      </c>
      <c r="P122" s="41">
        <v>92</v>
      </c>
    </row>
    <row r="123" spans="1:16" ht="15.75" thickTop="1" x14ac:dyDescent="0.2">
      <c r="C123" s="8" t="s">
        <v>10</v>
      </c>
      <c r="D123" s="8" t="s">
        <v>10</v>
      </c>
      <c r="E123" s="24" t="s">
        <v>10</v>
      </c>
      <c r="F123" s="24" t="s">
        <v>10</v>
      </c>
      <c r="G123" s="12" t="s">
        <v>10</v>
      </c>
      <c r="H123" s="12" t="s">
        <v>10</v>
      </c>
      <c r="I123" s="40" t="s">
        <v>10</v>
      </c>
      <c r="J123" s="40" t="s">
        <v>10</v>
      </c>
      <c r="K123" s="9" t="s">
        <v>10</v>
      </c>
      <c r="L123" s="9" t="s">
        <v>10</v>
      </c>
      <c r="M123" s="25"/>
      <c r="N123" s="25"/>
      <c r="O123" s="41"/>
      <c r="P123" s="41"/>
    </row>
    <row r="124" spans="1:16" x14ac:dyDescent="0.2">
      <c r="C124" s="8">
        <v>1</v>
      </c>
      <c r="D124" s="8">
        <v>1</v>
      </c>
      <c r="E124" s="24">
        <v>0</v>
      </c>
      <c r="F124" s="24">
        <v>1</v>
      </c>
      <c r="G124" s="12">
        <v>0</v>
      </c>
      <c r="H124" s="12">
        <v>1</v>
      </c>
      <c r="I124" s="40">
        <v>0</v>
      </c>
      <c r="J124" s="40">
        <v>1</v>
      </c>
      <c r="K124" s="9">
        <v>0</v>
      </c>
      <c r="L124" s="9">
        <v>0</v>
      </c>
      <c r="M124" s="25"/>
      <c r="N124" s="25"/>
      <c r="O124" s="41"/>
      <c r="P124" s="41"/>
    </row>
    <row r="125" spans="1:16" x14ac:dyDescent="0.2">
      <c r="C125" s="8" t="s">
        <v>16</v>
      </c>
      <c r="D125" s="8">
        <v>2</v>
      </c>
      <c r="E125" s="24" t="s">
        <v>16</v>
      </c>
      <c r="F125" s="24">
        <v>1</v>
      </c>
      <c r="G125" s="12" t="s">
        <v>16</v>
      </c>
      <c r="H125" s="12">
        <v>1</v>
      </c>
      <c r="I125" s="40" t="s">
        <v>16</v>
      </c>
      <c r="J125" s="40">
        <v>1</v>
      </c>
      <c r="K125" s="9" t="s">
        <v>5</v>
      </c>
      <c r="L125" s="9">
        <v>1</v>
      </c>
      <c r="M125" s="25" t="s">
        <v>5</v>
      </c>
      <c r="N125" s="25">
        <v>1</v>
      </c>
      <c r="O125" s="41" t="s">
        <v>16</v>
      </c>
      <c r="P125" s="41">
        <f>IF(AND(B122&gt;=10,B122&lt;=50),1,IF(AND(B122&gt;50,B122&lt;=100),2,IF(AND(B122&gt;100,B122&lt;=150),3,"")))</f>
        <v>2</v>
      </c>
    </row>
    <row r="127" spans="1:16" ht="15.75" thickBot="1" x14ac:dyDescent="0.25"/>
    <row r="128" spans="1:16" ht="20.25" thickTop="1" thickBot="1" x14ac:dyDescent="0.3">
      <c r="A128" s="22">
        <v>19</v>
      </c>
      <c r="B128" s="23" t="s">
        <v>27</v>
      </c>
      <c r="C128" s="27" t="s">
        <v>2</v>
      </c>
      <c r="D128" s="26"/>
      <c r="E128" s="29" t="s">
        <v>1</v>
      </c>
      <c r="F128" s="28"/>
      <c r="G128" s="31" t="s">
        <v>28</v>
      </c>
      <c r="H128" s="30"/>
      <c r="I128" s="38" t="s">
        <v>3</v>
      </c>
      <c r="J128" s="39"/>
      <c r="K128" s="33" t="s">
        <v>4</v>
      </c>
      <c r="L128" s="32"/>
      <c r="M128" s="25" t="s">
        <v>31</v>
      </c>
      <c r="N128" s="25" t="s">
        <v>30</v>
      </c>
      <c r="O128" s="41" t="s">
        <v>32</v>
      </c>
      <c r="P128" s="41" t="s">
        <v>33</v>
      </c>
    </row>
    <row r="129" spans="1:16" ht="20.25" thickTop="1" thickBot="1" x14ac:dyDescent="0.3">
      <c r="B129" s="23">
        <v>84</v>
      </c>
      <c r="C129" s="8">
        <v>35</v>
      </c>
      <c r="D129" s="8">
        <v>90</v>
      </c>
      <c r="E129" s="24">
        <v>35</v>
      </c>
      <c r="F129" s="24">
        <f>B129-3.2</f>
        <v>80.8</v>
      </c>
      <c r="G129" s="12">
        <f>C129-2</f>
        <v>33</v>
      </c>
      <c r="H129" s="12">
        <f>B129-3.2</f>
        <v>80.8</v>
      </c>
      <c r="I129" s="40">
        <f>E129-3</f>
        <v>32</v>
      </c>
      <c r="J129" s="40">
        <f>F129</f>
        <v>80.8</v>
      </c>
      <c r="K129" s="9">
        <v>7</v>
      </c>
      <c r="L129" s="9">
        <f>B129-3.2</f>
        <v>80.8</v>
      </c>
      <c r="M129" s="25">
        <f>F129+1.6</f>
        <v>82.399999999999991</v>
      </c>
      <c r="N129" s="25">
        <f>D129-0.8</f>
        <v>89.2</v>
      </c>
      <c r="O129" s="41">
        <f>IF(AND(B129&gt;=10,B129&lt;=50), B129-0.2, IF(AND(B129&gt;50,B129&lt;=100),B129/2-0.2, IF(AND(B129&gt;100,B129&lt;=150),B129/3-0.2, "")))</f>
        <v>41.8</v>
      </c>
      <c r="P129" s="41">
        <v>92</v>
      </c>
    </row>
    <row r="130" spans="1:16" ht="15.75" thickTop="1" x14ac:dyDescent="0.2">
      <c r="C130" s="8" t="s">
        <v>10</v>
      </c>
      <c r="D130" s="8" t="s">
        <v>10</v>
      </c>
      <c r="E130" s="24" t="s">
        <v>10</v>
      </c>
      <c r="F130" s="24" t="s">
        <v>10</v>
      </c>
      <c r="G130" s="12" t="s">
        <v>10</v>
      </c>
      <c r="H130" s="12" t="s">
        <v>10</v>
      </c>
      <c r="I130" s="40" t="s">
        <v>10</v>
      </c>
      <c r="J130" s="40" t="s">
        <v>10</v>
      </c>
      <c r="K130" s="9" t="s">
        <v>10</v>
      </c>
      <c r="L130" s="9" t="s">
        <v>10</v>
      </c>
      <c r="M130" s="25"/>
      <c r="N130" s="25"/>
      <c r="O130" s="41"/>
      <c r="P130" s="41"/>
    </row>
    <row r="131" spans="1:16" x14ac:dyDescent="0.2">
      <c r="C131" s="8">
        <v>1</v>
      </c>
      <c r="D131" s="8">
        <v>1</v>
      </c>
      <c r="E131" s="24">
        <v>0</v>
      </c>
      <c r="F131" s="24">
        <v>1</v>
      </c>
      <c r="G131" s="12">
        <v>0</v>
      </c>
      <c r="H131" s="12">
        <v>1</v>
      </c>
      <c r="I131" s="40">
        <v>0</v>
      </c>
      <c r="J131" s="40">
        <v>1</v>
      </c>
      <c r="K131" s="9">
        <v>0</v>
      </c>
      <c r="L131" s="9">
        <v>0</v>
      </c>
      <c r="M131" s="25"/>
      <c r="N131" s="25"/>
      <c r="O131" s="41"/>
      <c r="P131" s="41"/>
    </row>
    <row r="132" spans="1:16" x14ac:dyDescent="0.2">
      <c r="C132" s="8" t="s">
        <v>16</v>
      </c>
      <c r="D132" s="8">
        <v>2</v>
      </c>
      <c r="E132" s="24" t="s">
        <v>16</v>
      </c>
      <c r="F132" s="24">
        <v>1</v>
      </c>
      <c r="G132" s="12" t="s">
        <v>16</v>
      </c>
      <c r="H132" s="12">
        <v>1</v>
      </c>
      <c r="I132" s="40" t="s">
        <v>16</v>
      </c>
      <c r="J132" s="40">
        <v>1</v>
      </c>
      <c r="K132" s="9" t="s">
        <v>5</v>
      </c>
      <c r="L132" s="9">
        <v>1</v>
      </c>
      <c r="M132" s="25" t="s">
        <v>5</v>
      </c>
      <c r="N132" s="25">
        <v>1</v>
      </c>
      <c r="O132" s="41" t="s">
        <v>16</v>
      </c>
      <c r="P132" s="41">
        <f>IF(AND(B129&gt;=10,B129&lt;=50),1,IF(AND(B129&gt;50,B129&lt;=100),2,IF(AND(B129&gt;100,B129&lt;=150),3,"")))</f>
        <v>2</v>
      </c>
    </row>
    <row r="134" spans="1:16" ht="15.75" thickBot="1" x14ac:dyDescent="0.25"/>
    <row r="135" spans="1:16" ht="20.25" thickTop="1" thickBot="1" x14ac:dyDescent="0.3">
      <c r="A135" s="22">
        <v>20</v>
      </c>
      <c r="B135" s="23" t="s">
        <v>27</v>
      </c>
      <c r="C135" s="27" t="s">
        <v>2</v>
      </c>
      <c r="D135" s="26"/>
      <c r="E135" s="29" t="s">
        <v>1</v>
      </c>
      <c r="F135" s="28"/>
      <c r="G135" s="31" t="s">
        <v>28</v>
      </c>
      <c r="H135" s="30"/>
      <c r="I135" s="38" t="s">
        <v>3</v>
      </c>
      <c r="J135" s="39"/>
      <c r="K135" s="33" t="s">
        <v>4</v>
      </c>
      <c r="L135" s="32"/>
      <c r="M135" s="25" t="s">
        <v>31</v>
      </c>
      <c r="N135" s="25" t="s">
        <v>30</v>
      </c>
      <c r="O135" s="41" t="s">
        <v>32</v>
      </c>
      <c r="P135" s="41" t="s">
        <v>33</v>
      </c>
    </row>
    <row r="136" spans="1:16" ht="20.25" thickTop="1" thickBot="1" x14ac:dyDescent="0.3">
      <c r="B136" s="23">
        <v>35</v>
      </c>
      <c r="C136" s="8">
        <v>35</v>
      </c>
      <c r="D136" s="8">
        <v>90</v>
      </c>
      <c r="E136" s="24">
        <v>35</v>
      </c>
      <c r="F136" s="24">
        <f>B136-3.2</f>
        <v>31.8</v>
      </c>
      <c r="G136" s="12">
        <f>C136-2</f>
        <v>33</v>
      </c>
      <c r="H136" s="12">
        <f>B136-3.2</f>
        <v>31.8</v>
      </c>
      <c r="I136" s="40">
        <f>E136-3</f>
        <v>32</v>
      </c>
      <c r="J136" s="40">
        <f>F136</f>
        <v>31.8</v>
      </c>
      <c r="K136" s="9">
        <v>7</v>
      </c>
      <c r="L136" s="9">
        <f>B136-3.2</f>
        <v>31.8</v>
      </c>
      <c r="M136" s="25">
        <f>F136+1.6</f>
        <v>33.4</v>
      </c>
      <c r="N136" s="25">
        <f>D136-0.8</f>
        <v>89.2</v>
      </c>
      <c r="O136" s="41">
        <f>IF(AND(B136&gt;=10,B136&lt;=50), B136-0.2, IF(AND(B136&gt;50,B136&lt;=100),B136/2-0.2, IF(AND(B136&gt;100,B136&lt;=150),B136/3-0.2, "")))</f>
        <v>34.799999999999997</v>
      </c>
      <c r="P136" s="41">
        <v>92</v>
      </c>
    </row>
    <row r="137" spans="1:16" ht="15.75" thickTop="1" x14ac:dyDescent="0.2">
      <c r="C137" s="8" t="s">
        <v>10</v>
      </c>
      <c r="D137" s="8" t="s">
        <v>10</v>
      </c>
      <c r="E137" s="24" t="s">
        <v>10</v>
      </c>
      <c r="F137" s="24" t="s">
        <v>10</v>
      </c>
      <c r="G137" s="12" t="s">
        <v>10</v>
      </c>
      <c r="H137" s="12" t="s">
        <v>10</v>
      </c>
      <c r="I137" s="40" t="s">
        <v>10</v>
      </c>
      <c r="J137" s="40" t="s">
        <v>10</v>
      </c>
      <c r="K137" s="9" t="s">
        <v>10</v>
      </c>
      <c r="L137" s="9" t="s">
        <v>10</v>
      </c>
      <c r="M137" s="25"/>
      <c r="N137" s="25"/>
      <c r="O137" s="41"/>
      <c r="P137" s="41"/>
    </row>
    <row r="138" spans="1:16" x14ac:dyDescent="0.2">
      <c r="C138" s="8">
        <v>1</v>
      </c>
      <c r="D138" s="8">
        <v>1</v>
      </c>
      <c r="E138" s="24">
        <v>0</v>
      </c>
      <c r="F138" s="24">
        <v>1</v>
      </c>
      <c r="G138" s="12">
        <v>0</v>
      </c>
      <c r="H138" s="12">
        <v>1</v>
      </c>
      <c r="I138" s="40">
        <v>0</v>
      </c>
      <c r="J138" s="40">
        <v>1</v>
      </c>
      <c r="K138" s="9">
        <v>0</v>
      </c>
      <c r="L138" s="9">
        <v>0</v>
      </c>
      <c r="M138" s="25"/>
      <c r="N138" s="25"/>
      <c r="O138" s="41"/>
      <c r="P138" s="41"/>
    </row>
    <row r="139" spans="1:16" x14ac:dyDescent="0.2">
      <c r="C139" s="8" t="s">
        <v>16</v>
      </c>
      <c r="D139" s="8">
        <v>2</v>
      </c>
      <c r="E139" s="24" t="s">
        <v>16</v>
      </c>
      <c r="F139" s="24">
        <v>1</v>
      </c>
      <c r="G139" s="12" t="s">
        <v>16</v>
      </c>
      <c r="H139" s="12">
        <v>1</v>
      </c>
      <c r="I139" s="40" t="s">
        <v>16</v>
      </c>
      <c r="J139" s="40">
        <v>1</v>
      </c>
      <c r="K139" s="9" t="s">
        <v>5</v>
      </c>
      <c r="L139" s="9">
        <v>1</v>
      </c>
      <c r="M139" s="25" t="s">
        <v>5</v>
      </c>
      <c r="N139" s="25">
        <v>1</v>
      </c>
      <c r="O139" s="41" t="s">
        <v>16</v>
      </c>
      <c r="P139" s="41">
        <f>IF(AND(B136&gt;=10,B136&lt;=50),1,IF(AND(B136&gt;50,B136&lt;=100),2,IF(AND(B136&gt;100,B136&lt;=150),3,"")))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T160"/>
  <sheetViews>
    <sheetView rightToLeft="1" topLeftCell="C1" zoomScale="115" zoomScaleNormal="115" workbookViewId="0">
      <selection activeCell="U27" sqref="U27"/>
    </sheetView>
  </sheetViews>
  <sheetFormatPr defaultRowHeight="15" x14ac:dyDescent="0.2"/>
  <cols>
    <col min="2" max="2" width="6.3203125" customWidth="1"/>
    <col min="3" max="3" width="17.08203125" customWidth="1"/>
    <col min="7" max="7" width="9.14453125" customWidth="1"/>
  </cols>
  <sheetData>
    <row r="1" spans="2:20" ht="16.5" thickTop="1" thickBot="1" x14ac:dyDescent="0.25">
      <c r="B1" s="5" t="s">
        <v>29</v>
      </c>
    </row>
    <row r="2" spans="2:20" ht="16.5" thickTop="1" thickBot="1" x14ac:dyDescent="0.25">
      <c r="I2" s="37" t="s">
        <v>8</v>
      </c>
    </row>
    <row r="3" spans="2:20" ht="16.5" thickTop="1" thickBot="1" x14ac:dyDescent="0.25">
      <c r="B3" s="5">
        <v>1</v>
      </c>
      <c r="C3" s="3" t="s">
        <v>12</v>
      </c>
      <c r="D3" s="3" t="s">
        <v>5</v>
      </c>
      <c r="E3" s="3" t="s">
        <v>10</v>
      </c>
      <c r="F3" s="3" t="s">
        <v>11</v>
      </c>
      <c r="G3" s="3" t="s">
        <v>10</v>
      </c>
      <c r="H3" s="3" t="s">
        <v>9</v>
      </c>
      <c r="I3" s="36">
        <f>'کابینت هوایی'!B3</f>
        <v>60</v>
      </c>
      <c r="L3" s="3" t="s">
        <v>9</v>
      </c>
      <c r="M3" s="3" t="s">
        <v>11</v>
      </c>
      <c r="N3" s="3" t="s">
        <v>5</v>
      </c>
      <c r="O3" s="3" t="s">
        <v>24</v>
      </c>
      <c r="Q3" s="3" t="s">
        <v>9</v>
      </c>
      <c r="R3" s="3" t="s">
        <v>11</v>
      </c>
      <c r="S3" s="3" t="s">
        <v>5</v>
      </c>
      <c r="T3" s="3" t="s">
        <v>24</v>
      </c>
    </row>
    <row r="4" spans="2:20" ht="15.75" thickTop="1" x14ac:dyDescent="0.2">
      <c r="C4" s="1"/>
      <c r="D4" s="1">
        <f>'کابینت هوایی'!D6</f>
        <v>2</v>
      </c>
      <c r="E4" s="1">
        <f>'کابینت هوایی'!C5</f>
        <v>1</v>
      </c>
      <c r="F4" s="1">
        <f>'کابینت هوایی'!C3</f>
        <v>35</v>
      </c>
      <c r="G4" s="1">
        <f>'کابینت هوایی'!D5</f>
        <v>1</v>
      </c>
      <c r="H4" s="1">
        <f>'کابینت هوایی'!D3</f>
        <v>90</v>
      </c>
      <c r="I4" s="1" t="s">
        <v>2</v>
      </c>
      <c r="L4" s="1">
        <f>H4</f>
        <v>90</v>
      </c>
      <c r="M4" s="1">
        <f>F4</f>
        <v>35</v>
      </c>
      <c r="N4" s="1">
        <f>D4</f>
        <v>2</v>
      </c>
      <c r="O4" s="1" t="s">
        <v>25</v>
      </c>
      <c r="Q4" s="1">
        <f>'کابینت هوایی'!N3</f>
        <v>89.2</v>
      </c>
      <c r="R4" s="1">
        <f>'کابینت هوایی'!M3</f>
        <v>58.4</v>
      </c>
      <c r="S4" s="1">
        <f>'کابینت هوایی'!N6</f>
        <v>1</v>
      </c>
      <c r="T4" s="1" t="s">
        <v>26</v>
      </c>
    </row>
    <row r="5" spans="2:20" x14ac:dyDescent="0.2">
      <c r="C5" s="1"/>
      <c r="D5" s="1">
        <f>'کابینت هوایی'!F6</f>
        <v>1</v>
      </c>
      <c r="E5" s="1">
        <f>'کابینت هوایی'!E5</f>
        <v>0</v>
      </c>
      <c r="F5" s="1">
        <f>'کابینت هوایی'!E3</f>
        <v>35</v>
      </c>
      <c r="G5" s="1">
        <f>'کابینت هوایی'!F5</f>
        <v>1</v>
      </c>
      <c r="H5" s="1">
        <f>'کابینت هوایی'!F3</f>
        <v>56.8</v>
      </c>
      <c r="I5" s="1" t="s">
        <v>1</v>
      </c>
      <c r="L5" s="1">
        <f>H5</f>
        <v>56.8</v>
      </c>
      <c r="M5" s="1">
        <f>F5</f>
        <v>35</v>
      </c>
      <c r="N5" s="1">
        <f>D5</f>
        <v>1</v>
      </c>
      <c r="O5" s="1" t="s">
        <v>25</v>
      </c>
      <c r="Q5" s="1">
        <f>'کابینت هوایی'!N10</f>
        <v>99.2</v>
      </c>
      <c r="R5" s="1">
        <f>'کابینت هوایی'!M10</f>
        <v>82.399999999999991</v>
      </c>
      <c r="S5" s="1">
        <f>'کابینت هوایی'!N13</f>
        <v>1</v>
      </c>
      <c r="T5" s="1" t="s">
        <v>26</v>
      </c>
    </row>
    <row r="6" spans="2:20" x14ac:dyDescent="0.2">
      <c r="C6" s="1"/>
      <c r="D6" s="1">
        <f>'کابینت هوایی'!H6</f>
        <v>1</v>
      </c>
      <c r="E6" s="1">
        <f>'کابینت هوایی'!G5</f>
        <v>0</v>
      </c>
      <c r="F6" s="1">
        <f>'کابینت هوایی'!G3</f>
        <v>33</v>
      </c>
      <c r="G6" s="1">
        <f>'کابینت هوایی'!H5</f>
        <v>1</v>
      </c>
      <c r="H6" s="1">
        <f>'کابینت هوایی'!H3</f>
        <v>56.8</v>
      </c>
      <c r="I6" s="1" t="s">
        <v>28</v>
      </c>
      <c r="L6" s="1">
        <f>H6</f>
        <v>56.8</v>
      </c>
      <c r="M6" s="1">
        <f>F6</f>
        <v>33</v>
      </c>
      <c r="N6" s="1">
        <f>D6</f>
        <v>1</v>
      </c>
      <c r="O6" s="1" t="s">
        <v>25</v>
      </c>
      <c r="Q6" s="1">
        <f>'کابینت هوایی'!N17</f>
        <v>89.2</v>
      </c>
      <c r="R6" s="1">
        <f>'کابینت هوایی'!M17</f>
        <v>78.399999999999991</v>
      </c>
      <c r="S6" s="1">
        <f>'کابینت هوایی'!N20</f>
        <v>1</v>
      </c>
      <c r="T6" s="1" t="s">
        <v>26</v>
      </c>
    </row>
    <row r="7" spans="2:20" x14ac:dyDescent="0.2">
      <c r="C7" s="1"/>
      <c r="D7" s="1">
        <f>'کابینت هوایی'!J6</f>
        <v>1</v>
      </c>
      <c r="E7" s="1">
        <f>'کابینت هوایی'!I5</f>
        <v>0</v>
      </c>
      <c r="F7" s="1">
        <f>'کابینت هوایی'!I3</f>
        <v>32</v>
      </c>
      <c r="G7" s="1">
        <f>'کابینت هوایی'!J5</f>
        <v>1</v>
      </c>
      <c r="H7" s="1">
        <f>'کابینت هوایی'!J3</f>
        <v>56.8</v>
      </c>
      <c r="I7" s="1" t="s">
        <v>3</v>
      </c>
      <c r="L7" s="1">
        <f>H7</f>
        <v>56.8</v>
      </c>
      <c r="M7" s="1">
        <f>F7</f>
        <v>32</v>
      </c>
      <c r="N7" s="1">
        <f>D7</f>
        <v>1</v>
      </c>
      <c r="O7" s="1" t="s">
        <v>25</v>
      </c>
      <c r="Q7" s="1">
        <f>'کابینت هوایی'!N24</f>
        <v>89.2</v>
      </c>
      <c r="R7" s="1">
        <f>'کابینت هوایی'!M24</f>
        <v>82.399999999999991</v>
      </c>
      <c r="S7" s="1">
        <f>'کابینت هوایی'!N27</f>
        <v>1</v>
      </c>
      <c r="T7" s="1" t="s">
        <v>26</v>
      </c>
    </row>
    <row r="8" spans="2:20" x14ac:dyDescent="0.2">
      <c r="C8" s="1"/>
      <c r="D8" s="1">
        <f>'کابینت هوایی'!L6</f>
        <v>1</v>
      </c>
      <c r="E8" s="1">
        <f>'کابینت هوایی'!K5</f>
        <v>0</v>
      </c>
      <c r="F8" s="1">
        <f>'کابینت هوایی'!K3</f>
        <v>7</v>
      </c>
      <c r="G8" s="1">
        <f>'کابینت هوایی'!L5</f>
        <v>0</v>
      </c>
      <c r="H8" s="1">
        <f>'کابینت هوایی'!L3</f>
        <v>56.8</v>
      </c>
      <c r="I8" s="1" t="s">
        <v>4</v>
      </c>
      <c r="L8" s="1">
        <f>H8</f>
        <v>56.8</v>
      </c>
      <c r="M8" s="1">
        <f>F8</f>
        <v>7</v>
      </c>
      <c r="N8" s="1">
        <f>D8</f>
        <v>1</v>
      </c>
      <c r="O8" s="1" t="s">
        <v>25</v>
      </c>
      <c r="Q8" s="1">
        <f>'کابینت هوایی'!N31</f>
        <v>89.2</v>
      </c>
      <c r="R8" s="1">
        <f>'کابینت هوایی'!M31</f>
        <v>82.399999999999991</v>
      </c>
      <c r="S8" s="1">
        <f>'کابینت هوایی'!N34</f>
        <v>1</v>
      </c>
      <c r="T8" s="1" t="s">
        <v>26</v>
      </c>
    </row>
    <row r="9" spans="2:20" ht="15.75" thickBot="1" x14ac:dyDescent="0.25">
      <c r="L9" s="1">
        <f>H12</f>
        <v>100</v>
      </c>
      <c r="M9" s="1">
        <f>F12</f>
        <v>35</v>
      </c>
      <c r="N9" s="1">
        <f>D12</f>
        <v>2</v>
      </c>
      <c r="O9" s="1" t="s">
        <v>25</v>
      </c>
      <c r="Q9" s="1">
        <f>'کابینت هوایی'!N38</f>
        <v>89.2</v>
      </c>
      <c r="R9" s="1">
        <f>'کابینت هوایی'!M38</f>
        <v>82.399999999999991</v>
      </c>
      <c r="S9" s="1">
        <f>'کابینت هوایی'!N41</f>
        <v>1</v>
      </c>
      <c r="T9" s="1" t="s">
        <v>26</v>
      </c>
    </row>
    <row r="10" spans="2:20" ht="16.5" thickTop="1" thickBot="1" x14ac:dyDescent="0.25">
      <c r="B10" s="5">
        <v>2</v>
      </c>
      <c r="I10" s="37" t="s">
        <v>8</v>
      </c>
      <c r="L10" s="1">
        <f>H13</f>
        <v>80.8</v>
      </c>
      <c r="M10" s="1">
        <f>F13</f>
        <v>35</v>
      </c>
      <c r="N10" s="1">
        <f>D13</f>
        <v>1</v>
      </c>
      <c r="O10" s="1" t="s">
        <v>25</v>
      </c>
      <c r="Q10" s="1">
        <f>'کابینت هوایی'!N45</f>
        <v>89.2</v>
      </c>
      <c r="R10" s="1">
        <f>'کابینت هوایی'!M45</f>
        <v>82.399999999999991</v>
      </c>
      <c r="S10" s="1">
        <f>'کابینت هوایی'!N48</f>
        <v>1</v>
      </c>
      <c r="T10" s="1" t="s">
        <v>26</v>
      </c>
    </row>
    <row r="11" spans="2:20" ht="15.75" thickTop="1" x14ac:dyDescent="0.2">
      <c r="C11" s="3" t="s">
        <v>12</v>
      </c>
      <c r="D11" s="3" t="s">
        <v>5</v>
      </c>
      <c r="E11" s="3" t="s">
        <v>10</v>
      </c>
      <c r="F11" s="3" t="s">
        <v>11</v>
      </c>
      <c r="G11" s="3" t="s">
        <v>10</v>
      </c>
      <c r="H11" s="3" t="s">
        <v>9</v>
      </c>
      <c r="I11" s="36">
        <f>'کابینت هوایی'!B10</f>
        <v>84</v>
      </c>
      <c r="L11" s="1">
        <f>H14</f>
        <v>80.8</v>
      </c>
      <c r="M11" s="1">
        <f>F14</f>
        <v>33</v>
      </c>
      <c r="N11" s="1">
        <f>D14</f>
        <v>1</v>
      </c>
      <c r="O11" s="1" t="s">
        <v>25</v>
      </c>
      <c r="Q11" s="1">
        <f>'کابینت هوایی'!N52</f>
        <v>89.2</v>
      </c>
      <c r="R11" s="1">
        <f>'کابینت هوایی'!M52</f>
        <v>82.399999999999991</v>
      </c>
      <c r="S11" s="1">
        <f>'کابینت هوایی'!N55</f>
        <v>1</v>
      </c>
      <c r="T11" s="1" t="s">
        <v>26</v>
      </c>
    </row>
    <row r="12" spans="2:20" x14ac:dyDescent="0.2">
      <c r="C12" s="1"/>
      <c r="D12" s="1">
        <f>'کابینت هوایی'!D13</f>
        <v>2</v>
      </c>
      <c r="E12" s="1">
        <f>'کابینت هوایی'!C12</f>
        <v>1</v>
      </c>
      <c r="F12" s="1">
        <f>'کابینت هوایی'!C10</f>
        <v>35</v>
      </c>
      <c r="G12" s="1">
        <f>'کابینت هوایی'!D12</f>
        <v>1</v>
      </c>
      <c r="H12" s="1">
        <f>'کابینت هوایی'!D10</f>
        <v>100</v>
      </c>
      <c r="I12" s="1" t="s">
        <v>2</v>
      </c>
      <c r="L12" s="1">
        <f>H15</f>
        <v>80.8</v>
      </c>
      <c r="M12" s="1">
        <f>F15</f>
        <v>32</v>
      </c>
      <c r="N12" s="1">
        <f>D15</f>
        <v>1</v>
      </c>
      <c r="O12" s="1" t="s">
        <v>25</v>
      </c>
      <c r="Q12" s="1">
        <f>'کابینت هوایی'!N59</f>
        <v>89.2</v>
      </c>
      <c r="R12" s="1">
        <f>'کابینت هوایی'!M59</f>
        <v>82.399999999999991</v>
      </c>
      <c r="S12" s="1">
        <f>'کابینت هوایی'!N62</f>
        <v>1</v>
      </c>
      <c r="T12" s="1" t="s">
        <v>26</v>
      </c>
    </row>
    <row r="13" spans="2:20" x14ac:dyDescent="0.2">
      <c r="C13" s="1"/>
      <c r="D13" s="1">
        <f>'کابینت هوایی'!F13</f>
        <v>1</v>
      </c>
      <c r="E13" s="1">
        <f>'کابینت هوایی'!E12</f>
        <v>0</v>
      </c>
      <c r="F13" s="1">
        <f>'کابینت هوایی'!E10</f>
        <v>35</v>
      </c>
      <c r="G13" s="1">
        <f>'کابینت هوایی'!F12</f>
        <v>1</v>
      </c>
      <c r="H13" s="1">
        <f>'کابینت هوایی'!F10</f>
        <v>80.8</v>
      </c>
      <c r="I13" s="1" t="s">
        <v>1</v>
      </c>
      <c r="L13" s="1">
        <f>H16</f>
        <v>80.8</v>
      </c>
      <c r="M13" s="1">
        <f>F16</f>
        <v>7</v>
      </c>
      <c r="N13" s="1">
        <f>D16</f>
        <v>1</v>
      </c>
      <c r="O13" s="1" t="s">
        <v>25</v>
      </c>
      <c r="Q13" s="1">
        <f>'کابینت هوایی'!N66</f>
        <v>89.2</v>
      </c>
      <c r="R13" s="1">
        <f>'کابینت هوایی'!M66</f>
        <v>82.399999999999991</v>
      </c>
      <c r="S13" s="1">
        <f>'کابینت هوایی'!N69</f>
        <v>1</v>
      </c>
      <c r="T13" s="1" t="s">
        <v>26</v>
      </c>
    </row>
    <row r="14" spans="2:20" x14ac:dyDescent="0.2">
      <c r="C14" s="1"/>
      <c r="D14" s="1">
        <f>'کابینت هوایی'!H13</f>
        <v>1</v>
      </c>
      <c r="E14" s="1">
        <f>'کابینت هوایی'!G12</f>
        <v>0</v>
      </c>
      <c r="F14" s="1">
        <f>'کابینت هوایی'!G10</f>
        <v>33</v>
      </c>
      <c r="G14" s="1">
        <f>'کابینت هوایی'!H12</f>
        <v>1</v>
      </c>
      <c r="H14" s="1">
        <f>'کابینت هوایی'!H10</f>
        <v>80.8</v>
      </c>
      <c r="I14" s="1" t="s">
        <v>28</v>
      </c>
      <c r="L14" s="1">
        <f>H20</f>
        <v>90</v>
      </c>
      <c r="M14" s="1">
        <f>F20</f>
        <v>35</v>
      </c>
      <c r="N14" s="1">
        <f>D20</f>
        <v>2</v>
      </c>
      <c r="O14" s="1" t="s">
        <v>25</v>
      </c>
      <c r="Q14" s="1">
        <f>'کابینت هوایی'!N73</f>
        <v>89.2</v>
      </c>
      <c r="R14" s="1">
        <f>'کابینت هوایی'!M73</f>
        <v>82.399999999999991</v>
      </c>
      <c r="S14" s="1">
        <f>'کابینت هوایی'!N76</f>
        <v>1</v>
      </c>
      <c r="T14" s="1" t="s">
        <v>26</v>
      </c>
    </row>
    <row r="15" spans="2:20" x14ac:dyDescent="0.2">
      <c r="C15" s="1"/>
      <c r="D15" s="1">
        <f>'کابینت هوایی'!L13</f>
        <v>1</v>
      </c>
      <c r="E15" s="1">
        <f>'کابینت هوایی'!I12</f>
        <v>0</v>
      </c>
      <c r="F15" s="1">
        <f>'کابینت هوایی'!I10</f>
        <v>32</v>
      </c>
      <c r="G15" s="1">
        <f>'کابینت هوایی'!J12</f>
        <v>1</v>
      </c>
      <c r="H15" s="1">
        <f>'کابینت هوایی'!J10</f>
        <v>80.8</v>
      </c>
      <c r="I15" s="1" t="s">
        <v>3</v>
      </c>
      <c r="L15" s="1">
        <f>H21</f>
        <v>76.8</v>
      </c>
      <c r="M15" s="1">
        <f>F21</f>
        <v>35</v>
      </c>
      <c r="N15" s="1">
        <f>D21</f>
        <v>1</v>
      </c>
      <c r="O15" s="1" t="s">
        <v>25</v>
      </c>
      <c r="Q15" s="1">
        <f>'کابینت هوایی'!N80</f>
        <v>49.2</v>
      </c>
      <c r="R15" s="1">
        <f>'کابینت هوایی'!M80</f>
        <v>82.399999999999991</v>
      </c>
      <c r="S15" s="1">
        <f>'کابینت هوایی'!N83</f>
        <v>1</v>
      </c>
      <c r="T15" s="1" t="s">
        <v>26</v>
      </c>
    </row>
    <row r="16" spans="2:20" x14ac:dyDescent="0.2">
      <c r="C16" s="1"/>
      <c r="D16" s="1">
        <f>'کابینت هوایی'!L13</f>
        <v>1</v>
      </c>
      <c r="E16" s="1">
        <f>'کابینت هوایی'!K12</f>
        <v>0</v>
      </c>
      <c r="F16" s="1">
        <f>'کابینت هوایی'!K10</f>
        <v>7</v>
      </c>
      <c r="G16" s="1">
        <f>'کابینت هوایی'!L12</f>
        <v>0</v>
      </c>
      <c r="H16" s="1">
        <f>'کابینت هوایی'!L10</f>
        <v>80.8</v>
      </c>
      <c r="I16" s="1" t="s">
        <v>4</v>
      </c>
      <c r="L16" s="1">
        <f>H22</f>
        <v>76.8</v>
      </c>
      <c r="M16" s="1">
        <f>F22</f>
        <v>33</v>
      </c>
      <c r="N16" s="1">
        <f>D22</f>
        <v>1</v>
      </c>
      <c r="O16" s="1" t="s">
        <v>25</v>
      </c>
      <c r="Q16" s="1">
        <f>'کابینت هوایی'!N87</f>
        <v>89.2</v>
      </c>
      <c r="R16" s="1">
        <f>'کابینت هوایی'!M87</f>
        <v>82.399999999999991</v>
      </c>
      <c r="S16" s="1">
        <f>'کابینت هوایی'!N90</f>
        <v>1</v>
      </c>
      <c r="T16" s="1" t="s">
        <v>26</v>
      </c>
    </row>
    <row r="17" spans="2:20" x14ac:dyDescent="0.2">
      <c r="L17" s="1">
        <f>H23</f>
        <v>76.8</v>
      </c>
      <c r="M17" s="1">
        <f>F23</f>
        <v>32</v>
      </c>
      <c r="N17" s="1">
        <f>D23</f>
        <v>1</v>
      </c>
      <c r="O17" s="1" t="s">
        <v>25</v>
      </c>
      <c r="Q17" s="1">
        <f>'کابینت هوایی'!N94</f>
        <v>89.2</v>
      </c>
      <c r="R17" s="1">
        <f>'کابینت هوایی'!M94</f>
        <v>82.399999999999991</v>
      </c>
      <c r="S17" s="1">
        <f>'کابینت هوایی'!N97</f>
        <v>1</v>
      </c>
      <c r="T17" s="1" t="s">
        <v>26</v>
      </c>
    </row>
    <row r="18" spans="2:20" ht="15.75" thickBot="1" x14ac:dyDescent="0.25">
      <c r="I18" s="37" t="s">
        <v>8</v>
      </c>
      <c r="L18" s="1">
        <f>H24</f>
        <v>76.8</v>
      </c>
      <c r="M18" s="1">
        <f>F24</f>
        <v>7</v>
      </c>
      <c r="N18" s="1">
        <f>D24</f>
        <v>1</v>
      </c>
      <c r="O18" s="1" t="s">
        <v>25</v>
      </c>
      <c r="Q18" s="1">
        <f>'کابینت هوایی'!N101</f>
        <v>89.2</v>
      </c>
      <c r="R18" s="1">
        <f>'کابینت هوایی'!M101</f>
        <v>82.399999999999991</v>
      </c>
      <c r="S18" s="1">
        <f>'کابینت هوایی'!N104</f>
        <v>1</v>
      </c>
      <c r="T18" s="1" t="s">
        <v>26</v>
      </c>
    </row>
    <row r="19" spans="2:20" ht="16.5" thickTop="1" thickBot="1" x14ac:dyDescent="0.25">
      <c r="B19" s="5">
        <v>3</v>
      </c>
      <c r="C19" s="3" t="s">
        <v>12</v>
      </c>
      <c r="D19" s="3" t="s">
        <v>5</v>
      </c>
      <c r="E19" s="3" t="s">
        <v>10</v>
      </c>
      <c r="F19" s="3" t="s">
        <v>11</v>
      </c>
      <c r="G19" s="3" t="s">
        <v>10</v>
      </c>
      <c r="H19" s="3" t="s">
        <v>9</v>
      </c>
      <c r="I19" s="36">
        <f>'کابینت هوایی'!B17</f>
        <v>80</v>
      </c>
      <c r="L19" s="1">
        <f>H28</f>
        <v>90</v>
      </c>
      <c r="M19" s="1">
        <f>F28</f>
        <v>35</v>
      </c>
      <c r="N19" s="1">
        <f>D28</f>
        <v>2</v>
      </c>
      <c r="O19" s="1" t="s">
        <v>25</v>
      </c>
      <c r="Q19" s="1">
        <f>'کابینت هوایی'!N108</f>
        <v>89.2</v>
      </c>
      <c r="R19" s="1">
        <f>'کابینت هوایی'!M108</f>
        <v>82.399999999999991</v>
      </c>
      <c r="S19" s="1">
        <f>'کابینت هوایی'!N111</f>
        <v>1</v>
      </c>
      <c r="T19" s="1" t="s">
        <v>26</v>
      </c>
    </row>
    <row r="20" spans="2:20" ht="15.75" thickTop="1" x14ac:dyDescent="0.2">
      <c r="C20" s="1"/>
      <c r="D20" s="1">
        <f>'کابینت هوایی'!D20</f>
        <v>2</v>
      </c>
      <c r="E20" s="1">
        <f>'کابینت هوایی'!C19</f>
        <v>1</v>
      </c>
      <c r="F20" s="1">
        <f>'کابینت هوایی'!C17</f>
        <v>35</v>
      </c>
      <c r="G20" s="1">
        <f>'کابینت هوایی'!D19</f>
        <v>1</v>
      </c>
      <c r="H20" s="1">
        <f>'کابینت هوایی'!D17</f>
        <v>90</v>
      </c>
      <c r="I20" s="1" t="s">
        <v>2</v>
      </c>
      <c r="L20" s="1">
        <f>H29</f>
        <v>80.8</v>
      </c>
      <c r="M20" s="1">
        <f>F29</f>
        <v>35</v>
      </c>
      <c r="N20" s="1">
        <f>D29</f>
        <v>1</v>
      </c>
      <c r="O20" s="1" t="s">
        <v>25</v>
      </c>
      <c r="Q20" s="1">
        <f>'کابینت هوایی'!N115</f>
        <v>89.2</v>
      </c>
      <c r="R20" s="1">
        <f>'کابینت هوایی'!M115</f>
        <v>82.399999999999991</v>
      </c>
      <c r="S20" s="1">
        <f>'کابینت هوایی'!N118</f>
        <v>1</v>
      </c>
      <c r="T20" s="1" t="s">
        <v>26</v>
      </c>
    </row>
    <row r="21" spans="2:20" x14ac:dyDescent="0.2">
      <c r="C21" s="1"/>
      <c r="D21" s="1">
        <f>'کابینت هوایی'!H20</f>
        <v>1</v>
      </c>
      <c r="E21" s="1">
        <f>'کابینت هوایی'!E19</f>
        <v>0</v>
      </c>
      <c r="F21" s="1">
        <f>'کابینت هوایی'!E17</f>
        <v>35</v>
      </c>
      <c r="G21" s="1">
        <f>'کابینت هوایی'!F19</f>
        <v>1</v>
      </c>
      <c r="H21" s="1">
        <f>'کابینت هوایی'!F17</f>
        <v>76.8</v>
      </c>
      <c r="I21" s="1" t="s">
        <v>1</v>
      </c>
      <c r="L21" s="1">
        <f>H30</f>
        <v>80.8</v>
      </c>
      <c r="M21" s="1">
        <f>F30</f>
        <v>33</v>
      </c>
      <c r="N21" s="1">
        <f>D30</f>
        <v>1</v>
      </c>
      <c r="O21" s="1" t="s">
        <v>25</v>
      </c>
      <c r="Q21" s="1">
        <f>'کابینت هوایی'!N122</f>
        <v>89.2</v>
      </c>
      <c r="R21" s="1">
        <f>'کابینت هوایی'!M122</f>
        <v>82.399999999999991</v>
      </c>
      <c r="S21" s="1">
        <f>'کابینت هوایی'!N125</f>
        <v>1</v>
      </c>
      <c r="T21" s="1" t="s">
        <v>26</v>
      </c>
    </row>
    <row r="22" spans="2:20" x14ac:dyDescent="0.2">
      <c r="C22" s="1"/>
      <c r="D22" s="1">
        <f>'کابینت هوایی'!H20</f>
        <v>1</v>
      </c>
      <c r="E22" s="1">
        <f>'کابینت هوایی'!G19</f>
        <v>0</v>
      </c>
      <c r="F22" s="1">
        <f>'کابینت هوایی'!G17</f>
        <v>33</v>
      </c>
      <c r="G22" s="1">
        <f>'کابینت هوایی'!H19</f>
        <v>1</v>
      </c>
      <c r="H22" s="1">
        <f>'کابینت هوایی'!H17</f>
        <v>76.8</v>
      </c>
      <c r="I22" s="1" t="s">
        <v>28</v>
      </c>
      <c r="L22" s="1">
        <f>H31</f>
        <v>80.8</v>
      </c>
      <c r="M22" s="1">
        <f>F31</f>
        <v>32</v>
      </c>
      <c r="N22" s="1">
        <f>D31</f>
        <v>1</v>
      </c>
      <c r="O22" s="1" t="s">
        <v>25</v>
      </c>
      <c r="Q22" s="1">
        <f>'کابینت هوایی'!N129</f>
        <v>89.2</v>
      </c>
      <c r="R22" s="1">
        <f>'کابینت هوایی'!M129</f>
        <v>82.399999999999991</v>
      </c>
      <c r="S22" s="1">
        <f>'کابینت هوایی'!N132</f>
        <v>1</v>
      </c>
      <c r="T22" s="1" t="s">
        <v>26</v>
      </c>
    </row>
    <row r="23" spans="2:20" x14ac:dyDescent="0.2">
      <c r="C23" s="1"/>
      <c r="D23" s="1">
        <f>'کابینت هوایی'!J20</f>
        <v>1</v>
      </c>
      <c r="E23" s="1">
        <f>'کابینت هوایی'!I19</f>
        <v>0</v>
      </c>
      <c r="F23" s="1">
        <f>'کابینت هوایی'!I17</f>
        <v>32</v>
      </c>
      <c r="G23" s="1">
        <f>'کابینت هوایی'!J19</f>
        <v>1</v>
      </c>
      <c r="H23" s="1">
        <f>'کابینت هوایی'!J17</f>
        <v>76.8</v>
      </c>
      <c r="I23" s="1" t="s">
        <v>3</v>
      </c>
      <c r="L23" s="1">
        <f>H32</f>
        <v>80.8</v>
      </c>
      <c r="M23" s="1">
        <f>F32</f>
        <v>7</v>
      </c>
      <c r="N23" s="1">
        <f>D32</f>
        <v>1</v>
      </c>
      <c r="O23" s="1" t="s">
        <v>25</v>
      </c>
      <c r="Q23" s="1">
        <f>'کابینت هوایی'!N136</f>
        <v>89.2</v>
      </c>
      <c r="R23" s="1">
        <f>'کابینت هوایی'!M136</f>
        <v>33.4</v>
      </c>
      <c r="S23" s="1">
        <f>'کابینت هوایی'!N139</f>
        <v>1</v>
      </c>
      <c r="T23" s="1" t="s">
        <v>26</v>
      </c>
    </row>
    <row r="24" spans="2:20" x14ac:dyDescent="0.2">
      <c r="C24" s="1"/>
      <c r="D24" s="1">
        <f>'کابینت هوایی'!L20</f>
        <v>1</v>
      </c>
      <c r="E24" s="1">
        <f>'کابینت هوایی'!K19</f>
        <v>0</v>
      </c>
      <c r="F24" s="1">
        <f>'کابینت هوایی'!K17</f>
        <v>7</v>
      </c>
      <c r="G24" s="1">
        <f>'کابینت هوایی'!L19</f>
        <v>0</v>
      </c>
      <c r="H24" s="1">
        <f>'کابینت هوایی'!L17</f>
        <v>76.8</v>
      </c>
      <c r="I24" s="1" t="s">
        <v>4</v>
      </c>
      <c r="L24" s="1">
        <f>H36</f>
        <v>90</v>
      </c>
      <c r="M24" s="1">
        <f>F36</f>
        <v>35</v>
      </c>
      <c r="N24" s="1">
        <f>D36</f>
        <v>2</v>
      </c>
      <c r="O24" s="1" t="s">
        <v>25</v>
      </c>
    </row>
    <row r="25" spans="2:20" x14ac:dyDescent="0.2">
      <c r="L25" s="1">
        <f>H37</f>
        <v>80.8</v>
      </c>
      <c r="M25" s="1">
        <f>F37</f>
        <v>35</v>
      </c>
      <c r="N25" s="1">
        <f>D37</f>
        <v>1</v>
      </c>
      <c r="O25" s="1" t="s">
        <v>25</v>
      </c>
    </row>
    <row r="26" spans="2:20" ht="15.75" thickBot="1" x14ac:dyDescent="0.25">
      <c r="I26" s="37" t="s">
        <v>8</v>
      </c>
      <c r="L26" s="1">
        <f>H38</f>
        <v>80.8</v>
      </c>
      <c r="M26" s="1">
        <f>F38</f>
        <v>33</v>
      </c>
      <c r="N26" s="1">
        <f>D38</f>
        <v>1</v>
      </c>
      <c r="O26" s="1" t="s">
        <v>25</v>
      </c>
    </row>
    <row r="27" spans="2:20" ht="16.5" thickTop="1" thickBot="1" x14ac:dyDescent="0.25">
      <c r="B27" s="5">
        <v>4</v>
      </c>
      <c r="C27" s="3" t="s">
        <v>12</v>
      </c>
      <c r="D27" s="3" t="s">
        <v>5</v>
      </c>
      <c r="E27" s="3" t="s">
        <v>10</v>
      </c>
      <c r="F27" s="3" t="s">
        <v>11</v>
      </c>
      <c r="G27" s="3" t="s">
        <v>10</v>
      </c>
      <c r="H27" s="3" t="s">
        <v>9</v>
      </c>
      <c r="I27" s="36">
        <f>'کابینت هوایی'!B24</f>
        <v>84</v>
      </c>
      <c r="L27" s="1">
        <f>H39</f>
        <v>80.8</v>
      </c>
      <c r="M27" s="1">
        <f>F39</f>
        <v>32</v>
      </c>
      <c r="N27" s="1">
        <f>D39</f>
        <v>1</v>
      </c>
      <c r="O27" s="1" t="s">
        <v>25</v>
      </c>
    </row>
    <row r="28" spans="2:20" ht="15.75" thickTop="1" x14ac:dyDescent="0.2">
      <c r="C28" s="1"/>
      <c r="D28" s="1">
        <f>'کابینت هوایی'!D34</f>
        <v>2</v>
      </c>
      <c r="E28" s="1">
        <f>'کابینت هوایی'!C26</f>
        <v>1</v>
      </c>
      <c r="F28" s="1">
        <f>'کابینت هوایی'!C24</f>
        <v>35</v>
      </c>
      <c r="G28" s="1">
        <f>'کابینت هوایی'!D26</f>
        <v>1</v>
      </c>
      <c r="H28" s="1">
        <f>'کابینت هوایی'!D24</f>
        <v>90</v>
      </c>
      <c r="I28" s="1" t="s">
        <v>2</v>
      </c>
      <c r="L28" s="1">
        <f>H40</f>
        <v>80.8</v>
      </c>
      <c r="M28" s="1">
        <f>F40</f>
        <v>7</v>
      </c>
      <c r="N28" s="1">
        <f>D40</f>
        <v>1</v>
      </c>
      <c r="O28" s="1" t="s">
        <v>25</v>
      </c>
      <c r="Q28" s="3" t="s">
        <v>9</v>
      </c>
      <c r="R28" s="3" t="s">
        <v>11</v>
      </c>
      <c r="S28" s="3" t="s">
        <v>5</v>
      </c>
      <c r="T28" s="3" t="s">
        <v>24</v>
      </c>
    </row>
    <row r="29" spans="2:20" x14ac:dyDescent="0.2">
      <c r="C29" s="1"/>
      <c r="D29" s="1">
        <f>'کابینت هوایی'!F27</f>
        <v>1</v>
      </c>
      <c r="E29" s="1">
        <f>'کابینت هوایی'!E26</f>
        <v>0</v>
      </c>
      <c r="F29" s="1">
        <f>'کابینت هوایی'!E24</f>
        <v>35</v>
      </c>
      <c r="G29" s="1">
        <f>'کابینت هوایی'!F26</f>
        <v>1</v>
      </c>
      <c r="H29" s="1">
        <f>'کابینت هوایی'!F24</f>
        <v>80.8</v>
      </c>
      <c r="I29" s="1" t="s">
        <v>1</v>
      </c>
      <c r="L29" s="1">
        <f>H44</f>
        <v>90</v>
      </c>
      <c r="M29" s="1">
        <f>F44</f>
        <v>35</v>
      </c>
      <c r="N29" s="1">
        <f>D44</f>
        <v>2</v>
      </c>
      <c r="O29" s="1" t="s">
        <v>25</v>
      </c>
      <c r="Q29" s="1">
        <f>'کابینت هوایی'!P3</f>
        <v>92</v>
      </c>
      <c r="R29" s="1">
        <f>'کابینت هوایی'!O3</f>
        <v>29.8</v>
      </c>
      <c r="S29" s="1">
        <f>'کابینت هوایی'!P6</f>
        <v>2</v>
      </c>
      <c r="T29" s="1"/>
    </row>
    <row r="30" spans="2:20" x14ac:dyDescent="0.2">
      <c r="C30" s="1"/>
      <c r="D30" s="1">
        <f>'کابینت هوایی'!H27</f>
        <v>1</v>
      </c>
      <c r="E30" s="1">
        <f>'کابینت هوایی'!G26</f>
        <v>0</v>
      </c>
      <c r="F30" s="1">
        <f>'کابینت هوایی'!G24</f>
        <v>33</v>
      </c>
      <c r="G30" s="1">
        <f>'کابینت هوایی'!H26</f>
        <v>1</v>
      </c>
      <c r="H30" s="1">
        <f>'کابینت هوایی'!H24</f>
        <v>80.8</v>
      </c>
      <c r="I30" s="1" t="s">
        <v>28</v>
      </c>
      <c r="L30" s="1">
        <f>H45</f>
        <v>80.8</v>
      </c>
      <c r="M30" s="1">
        <f>F45</f>
        <v>35</v>
      </c>
      <c r="N30" s="1">
        <f>D45</f>
        <v>1</v>
      </c>
      <c r="O30" s="1" t="s">
        <v>25</v>
      </c>
      <c r="Q30" s="1">
        <f>'کابینت هوایی'!P10</f>
        <v>92</v>
      </c>
      <c r="R30" s="1">
        <f>'کابینت هوایی'!O10</f>
        <v>41.8</v>
      </c>
      <c r="S30" s="1">
        <f>'کابینت هوایی'!P13</f>
        <v>2</v>
      </c>
      <c r="T30" s="1"/>
    </row>
    <row r="31" spans="2:20" x14ac:dyDescent="0.2">
      <c r="C31" s="1"/>
      <c r="D31" s="1">
        <f>'کابینت هوایی'!J27</f>
        <v>1</v>
      </c>
      <c r="E31" s="1">
        <f>'کابینت هوایی'!I26</f>
        <v>0</v>
      </c>
      <c r="F31" s="1">
        <f>'کابینت هوایی'!I24</f>
        <v>32</v>
      </c>
      <c r="G31" s="1">
        <f>'کابینت هوایی'!J26</f>
        <v>1</v>
      </c>
      <c r="H31" s="1">
        <f>'کابینت هوایی'!J24</f>
        <v>80.8</v>
      </c>
      <c r="I31" s="1" t="s">
        <v>3</v>
      </c>
      <c r="L31" s="1">
        <f>H46</f>
        <v>80.8</v>
      </c>
      <c r="M31" s="1">
        <f>F46</f>
        <v>33</v>
      </c>
      <c r="N31" s="1">
        <f>D46</f>
        <v>1</v>
      </c>
      <c r="O31" s="1" t="s">
        <v>25</v>
      </c>
      <c r="Q31" s="1">
        <f>'کابینت هوایی'!P17</f>
        <v>92</v>
      </c>
      <c r="R31" s="1">
        <f>'کابینت هوایی'!O17</f>
        <v>39.799999999999997</v>
      </c>
      <c r="S31" s="1">
        <f>'کابینت هوایی'!P20</f>
        <v>2</v>
      </c>
      <c r="T31" s="1"/>
    </row>
    <row r="32" spans="2:20" x14ac:dyDescent="0.2">
      <c r="C32" s="1"/>
      <c r="D32" s="1">
        <f>'کابینت هوایی'!L27</f>
        <v>1</v>
      </c>
      <c r="E32" s="1">
        <f>'کابینت هوایی'!K26</f>
        <v>0</v>
      </c>
      <c r="F32" s="1">
        <f>'کابینت هوایی'!K24</f>
        <v>7</v>
      </c>
      <c r="G32" s="1">
        <f>'کابینت هوایی'!L26</f>
        <v>0</v>
      </c>
      <c r="H32" s="1">
        <f>'کابینت هوایی'!L24</f>
        <v>80.8</v>
      </c>
      <c r="I32" s="1" t="s">
        <v>4</v>
      </c>
      <c r="L32" s="1">
        <f>H47</f>
        <v>80.8</v>
      </c>
      <c r="M32" s="1">
        <f>F47</f>
        <v>32</v>
      </c>
      <c r="N32" s="1">
        <f>D47</f>
        <v>1</v>
      </c>
      <c r="O32" s="1" t="s">
        <v>25</v>
      </c>
      <c r="Q32" s="1">
        <f>'کابینت هوایی'!P24</f>
        <v>92</v>
      </c>
      <c r="R32" s="1">
        <f>'کابینت هوایی'!O24</f>
        <v>41.8</v>
      </c>
      <c r="S32" s="1">
        <f>'کابینت هوایی'!P27</f>
        <v>2</v>
      </c>
      <c r="T32" s="1"/>
    </row>
    <row r="33" spans="2:20" x14ac:dyDescent="0.2">
      <c r="L33" s="1">
        <f>H48</f>
        <v>80.8</v>
      </c>
      <c r="M33" s="1">
        <f>F48</f>
        <v>7</v>
      </c>
      <c r="N33" s="1">
        <f>D48</f>
        <v>1</v>
      </c>
      <c r="O33" s="1" t="s">
        <v>25</v>
      </c>
      <c r="Q33" s="1">
        <f>'کابینت هوایی'!P31</f>
        <v>92</v>
      </c>
      <c r="R33" s="1">
        <f>'کابینت هوایی'!O31</f>
        <v>41.8</v>
      </c>
      <c r="S33" s="1">
        <f>'کابینت هوایی'!P34</f>
        <v>2</v>
      </c>
      <c r="T33" s="1"/>
    </row>
    <row r="34" spans="2:20" ht="15.75" thickBot="1" x14ac:dyDescent="0.25">
      <c r="I34" s="37" t="s">
        <v>8</v>
      </c>
      <c r="L34" s="1">
        <f>H52</f>
        <v>90</v>
      </c>
      <c r="M34" s="1">
        <f>F52</f>
        <v>35</v>
      </c>
      <c r="N34" s="1">
        <f>D52</f>
        <v>2</v>
      </c>
      <c r="O34" s="1" t="s">
        <v>25</v>
      </c>
      <c r="Q34" s="1">
        <f>'کابینت هوایی'!P38</f>
        <v>92</v>
      </c>
      <c r="R34" s="1">
        <f>'کابینت هوایی'!O38</f>
        <v>41.8</v>
      </c>
      <c r="S34" s="1">
        <f>'کابینت هوایی'!P41</f>
        <v>2</v>
      </c>
      <c r="T34" s="1"/>
    </row>
    <row r="35" spans="2:20" ht="16.5" thickTop="1" thickBot="1" x14ac:dyDescent="0.25">
      <c r="B35" s="5">
        <v>5</v>
      </c>
      <c r="C35" s="3" t="s">
        <v>12</v>
      </c>
      <c r="D35" s="3" t="s">
        <v>5</v>
      </c>
      <c r="E35" s="3" t="s">
        <v>10</v>
      </c>
      <c r="F35" s="3" t="s">
        <v>11</v>
      </c>
      <c r="G35" s="3" t="s">
        <v>10</v>
      </c>
      <c r="H35" s="3" t="s">
        <v>9</v>
      </c>
      <c r="I35" s="36">
        <f>'کابینت هوایی'!B31</f>
        <v>84</v>
      </c>
      <c r="L35" s="1">
        <f>H53</f>
        <v>80.8</v>
      </c>
      <c r="M35" s="1">
        <f>F53</f>
        <v>35</v>
      </c>
      <c r="N35" s="1">
        <f>D53</f>
        <v>1</v>
      </c>
      <c r="O35" s="1" t="s">
        <v>25</v>
      </c>
      <c r="Q35" s="1">
        <f>'کابینت هوایی'!P45</f>
        <v>92</v>
      </c>
      <c r="R35" s="1">
        <f>'کابینت هوایی'!O45</f>
        <v>41.8</v>
      </c>
      <c r="S35" s="1">
        <f>'کابینت هوایی'!P48</f>
        <v>2</v>
      </c>
      <c r="T35" s="1"/>
    </row>
    <row r="36" spans="2:20" ht="15.75" thickTop="1" x14ac:dyDescent="0.2">
      <c r="C36" s="1"/>
      <c r="D36" s="1">
        <f>'کابینت هوایی'!D34</f>
        <v>2</v>
      </c>
      <c r="E36" s="1">
        <f>'کابینت هوایی'!C33</f>
        <v>1</v>
      </c>
      <c r="F36" s="1">
        <f>'کابینت هوایی'!C31</f>
        <v>35</v>
      </c>
      <c r="G36" s="1">
        <f>'کابینت هوایی'!D33</f>
        <v>1</v>
      </c>
      <c r="H36" s="1">
        <f>'کابینت هوایی'!D31</f>
        <v>90</v>
      </c>
      <c r="I36" s="1" t="s">
        <v>2</v>
      </c>
      <c r="L36" s="1">
        <f>H54</f>
        <v>80.8</v>
      </c>
      <c r="M36" s="1">
        <f>F54</f>
        <v>33</v>
      </c>
      <c r="N36" s="1">
        <f>D54</f>
        <v>1</v>
      </c>
      <c r="O36" s="1" t="s">
        <v>25</v>
      </c>
      <c r="Q36" s="1">
        <f>'کابینت هوایی'!P52</f>
        <v>92</v>
      </c>
      <c r="R36" s="1">
        <f>'کابینت هوایی'!O52</f>
        <v>41.8</v>
      </c>
      <c r="S36" s="1">
        <f>'کابینت هوایی'!P55</f>
        <v>2</v>
      </c>
      <c r="T36" s="1"/>
    </row>
    <row r="37" spans="2:20" x14ac:dyDescent="0.2">
      <c r="C37" s="1"/>
      <c r="D37" s="1">
        <f>'کابینت هوایی'!F34</f>
        <v>1</v>
      </c>
      <c r="E37" s="1">
        <f>'کابینت هوایی'!E33</f>
        <v>0</v>
      </c>
      <c r="F37" s="1">
        <f>'کابینت هوایی'!E31</f>
        <v>35</v>
      </c>
      <c r="G37" s="1">
        <f>'کابینت هوایی'!F33</f>
        <v>1</v>
      </c>
      <c r="H37" s="1">
        <f>'کابینت هوایی'!F31</f>
        <v>80.8</v>
      </c>
      <c r="I37" s="1" t="s">
        <v>1</v>
      </c>
      <c r="L37" s="1">
        <f>H55</f>
        <v>80.8</v>
      </c>
      <c r="M37" s="1">
        <f>F55</f>
        <v>32</v>
      </c>
      <c r="N37" s="1">
        <f>D55</f>
        <v>1</v>
      </c>
      <c r="O37" s="1" t="s">
        <v>25</v>
      </c>
      <c r="Q37" s="1">
        <f>'کابینت هوایی'!P59</f>
        <v>92</v>
      </c>
      <c r="R37" s="1">
        <f>'کابینت هوایی'!O59</f>
        <v>41.8</v>
      </c>
      <c r="S37" s="1">
        <f>'کابینت هوایی'!P62</f>
        <v>2</v>
      </c>
      <c r="T37" s="1"/>
    </row>
    <row r="38" spans="2:20" x14ac:dyDescent="0.2">
      <c r="C38" s="1"/>
      <c r="D38" s="1">
        <f>'کابینت هوایی'!H34</f>
        <v>1</v>
      </c>
      <c r="E38" s="1">
        <f>'کابینت هوایی'!G33</f>
        <v>0</v>
      </c>
      <c r="F38" s="1">
        <f>'کابینت هوایی'!G31</f>
        <v>33</v>
      </c>
      <c r="G38" s="1">
        <f>'کابینت هوایی'!H33</f>
        <v>1</v>
      </c>
      <c r="H38" s="1">
        <f>'کابینت هوایی'!H31</f>
        <v>80.8</v>
      </c>
      <c r="I38" s="1" t="s">
        <v>28</v>
      </c>
      <c r="L38" s="1">
        <f>H60</f>
        <v>90</v>
      </c>
      <c r="M38" s="1">
        <f>F60</f>
        <v>35</v>
      </c>
      <c r="N38" s="1">
        <f>D60</f>
        <v>2</v>
      </c>
      <c r="O38" s="1" t="s">
        <v>25</v>
      </c>
      <c r="Q38" s="1">
        <f>'کابینت هوایی'!P66</f>
        <v>92</v>
      </c>
      <c r="R38" s="1">
        <f>'کابینت هوایی'!O66</f>
        <v>41.8</v>
      </c>
      <c r="S38" s="1">
        <f>'کابینت هوایی'!P69</f>
        <v>2</v>
      </c>
      <c r="T38" s="1"/>
    </row>
    <row r="39" spans="2:20" x14ac:dyDescent="0.2">
      <c r="C39" s="1"/>
      <c r="D39" s="1">
        <f>'کابینت هوایی'!J34</f>
        <v>1</v>
      </c>
      <c r="E39" s="1">
        <f>'کابینت هوایی'!I33</f>
        <v>0</v>
      </c>
      <c r="F39" s="1">
        <f>'کابینت هوایی'!I31</f>
        <v>32</v>
      </c>
      <c r="G39" s="1">
        <f>'کابینت هوایی'!J33</f>
        <v>1</v>
      </c>
      <c r="H39" s="1">
        <f>'کابینت هوایی'!J31</f>
        <v>80.8</v>
      </c>
      <c r="I39" s="1" t="s">
        <v>3</v>
      </c>
      <c r="L39" s="1">
        <f>H61</f>
        <v>80.8</v>
      </c>
      <c r="M39" s="1">
        <f>F61</f>
        <v>35</v>
      </c>
      <c r="N39" s="1">
        <f>D61</f>
        <v>1</v>
      </c>
      <c r="O39" s="1" t="s">
        <v>25</v>
      </c>
      <c r="Q39" s="1">
        <f>'کابینت هوایی'!P73</f>
        <v>92</v>
      </c>
      <c r="R39" s="1">
        <f>'کابینت هوایی'!O73</f>
        <v>41.8</v>
      </c>
      <c r="S39" s="1">
        <f>'کابینت هوایی'!P76</f>
        <v>2</v>
      </c>
      <c r="T39" s="1"/>
    </row>
    <row r="40" spans="2:20" x14ac:dyDescent="0.2">
      <c r="C40" s="1"/>
      <c r="D40" s="1">
        <f>'کابینت هوایی'!L34</f>
        <v>1</v>
      </c>
      <c r="E40" s="1">
        <f>'کابینت هوایی'!K33</f>
        <v>0</v>
      </c>
      <c r="F40" s="1">
        <f>'کابینت هوایی'!K31</f>
        <v>7</v>
      </c>
      <c r="G40" s="1">
        <f>'کابینت هوایی'!L33</f>
        <v>0</v>
      </c>
      <c r="H40" s="1">
        <f>'کابینت هوایی'!L31</f>
        <v>80.8</v>
      </c>
      <c r="I40" s="1" t="s">
        <v>4</v>
      </c>
      <c r="L40" s="1">
        <f>H62</f>
        <v>80.8</v>
      </c>
      <c r="M40" s="1">
        <f>F62</f>
        <v>33</v>
      </c>
      <c r="N40" s="1">
        <f>D62</f>
        <v>1</v>
      </c>
      <c r="O40" s="1" t="s">
        <v>25</v>
      </c>
      <c r="Q40" s="1">
        <f>'کابینت هوایی'!P80</f>
        <v>92</v>
      </c>
      <c r="R40" s="1">
        <f>'کابینت هوایی'!O80</f>
        <v>41.8</v>
      </c>
      <c r="S40" s="1">
        <f>'کابینت هوایی'!P83</f>
        <v>2</v>
      </c>
      <c r="T40" s="1"/>
    </row>
    <row r="41" spans="2:20" x14ac:dyDescent="0.2">
      <c r="L41" s="1">
        <f>H63</f>
        <v>80.8</v>
      </c>
      <c r="M41" s="1">
        <f>F63</f>
        <v>32</v>
      </c>
      <c r="N41" s="1">
        <f>D63</f>
        <v>1</v>
      </c>
      <c r="O41" s="1" t="s">
        <v>25</v>
      </c>
      <c r="Q41" s="1">
        <f>'کابینت هوایی'!P87</f>
        <v>92</v>
      </c>
      <c r="R41" s="1">
        <f>'کابینت هوایی'!O87</f>
        <v>41.8</v>
      </c>
      <c r="S41" s="1">
        <f>'کابینت هوایی'!P90</f>
        <v>2</v>
      </c>
      <c r="T41" s="1"/>
    </row>
    <row r="42" spans="2:20" ht="15.75" thickBot="1" x14ac:dyDescent="0.25">
      <c r="I42" s="37" t="s">
        <v>8</v>
      </c>
      <c r="L42" s="1">
        <f>H64</f>
        <v>80.8</v>
      </c>
      <c r="M42" s="1">
        <f>F64</f>
        <v>7</v>
      </c>
      <c r="N42" s="1">
        <f>D64</f>
        <v>1</v>
      </c>
      <c r="O42" s="1" t="s">
        <v>25</v>
      </c>
      <c r="Q42" s="1">
        <f>'کابینت هوایی'!P94</f>
        <v>92</v>
      </c>
      <c r="R42" s="1">
        <f>'کابینت هوایی'!O94</f>
        <v>41.8</v>
      </c>
      <c r="S42" s="1">
        <f>'کابینت هوایی'!P97</f>
        <v>2</v>
      </c>
      <c r="T42" s="1"/>
    </row>
    <row r="43" spans="2:20" ht="16.5" thickTop="1" thickBot="1" x14ac:dyDescent="0.25">
      <c r="B43" s="5">
        <v>6</v>
      </c>
      <c r="C43" s="3" t="s">
        <v>12</v>
      </c>
      <c r="D43" s="3" t="s">
        <v>5</v>
      </c>
      <c r="E43" s="3" t="s">
        <v>10</v>
      </c>
      <c r="F43" s="3" t="s">
        <v>11</v>
      </c>
      <c r="G43" s="3" t="s">
        <v>10</v>
      </c>
      <c r="H43" s="3" t="s">
        <v>9</v>
      </c>
      <c r="I43" s="36">
        <f>'کابینت هوایی'!B38</f>
        <v>84</v>
      </c>
      <c r="L43" s="1">
        <f>H68</f>
        <v>90</v>
      </c>
      <c r="M43" s="1">
        <f>F68</f>
        <v>35</v>
      </c>
      <c r="N43" s="1">
        <f>D68</f>
        <v>2</v>
      </c>
      <c r="O43" s="1" t="s">
        <v>25</v>
      </c>
      <c r="Q43" s="1">
        <f>'کابینت هوایی'!P101</f>
        <v>92</v>
      </c>
      <c r="R43" s="1">
        <f>'کابینت هوایی'!O101</f>
        <v>41.8</v>
      </c>
      <c r="S43" s="1">
        <f>'کابینت هوایی'!P104</f>
        <v>2</v>
      </c>
      <c r="T43" s="1"/>
    </row>
    <row r="44" spans="2:20" ht="15.75" thickTop="1" x14ac:dyDescent="0.2">
      <c r="C44" s="1"/>
      <c r="D44" s="1">
        <f>'کابینت هوایی'!D41</f>
        <v>2</v>
      </c>
      <c r="E44" s="1">
        <f>'کابینت هوایی'!C40</f>
        <v>1</v>
      </c>
      <c r="F44" s="1">
        <f>'کابینت هوایی'!C38</f>
        <v>35</v>
      </c>
      <c r="G44" s="1">
        <f>'کابینت هوایی'!D40</f>
        <v>1</v>
      </c>
      <c r="H44" s="1">
        <f>'کابینت هوایی'!D38</f>
        <v>90</v>
      </c>
      <c r="I44" s="1" t="s">
        <v>2</v>
      </c>
      <c r="L44" s="1">
        <f>H69</f>
        <v>80.8</v>
      </c>
      <c r="M44" s="1">
        <f>F69</f>
        <v>35</v>
      </c>
      <c r="N44" s="1">
        <f>D69</f>
        <v>1</v>
      </c>
      <c r="O44" s="1" t="s">
        <v>25</v>
      </c>
      <c r="Q44" s="1">
        <f>'کابینت هوایی'!P108</f>
        <v>92</v>
      </c>
      <c r="R44" s="1">
        <f>'کابینت هوایی'!O108</f>
        <v>41.8</v>
      </c>
      <c r="S44" s="1">
        <f>'کابینت هوایی'!P111</f>
        <v>2</v>
      </c>
      <c r="T44" s="1"/>
    </row>
    <row r="45" spans="2:20" x14ac:dyDescent="0.2">
      <c r="C45" s="1"/>
      <c r="D45" s="1">
        <f>'کابینت هوایی'!F41</f>
        <v>1</v>
      </c>
      <c r="E45" s="1">
        <f>'کابینت هوایی'!E40</f>
        <v>0</v>
      </c>
      <c r="F45" s="1">
        <f>'کابینت هوایی'!E38</f>
        <v>35</v>
      </c>
      <c r="G45" s="1">
        <f>'کابینت هوایی'!F40</f>
        <v>1</v>
      </c>
      <c r="H45" s="1">
        <f>'کابینت هوایی'!F38</f>
        <v>80.8</v>
      </c>
      <c r="I45" s="1" t="s">
        <v>1</v>
      </c>
      <c r="L45" s="1">
        <f>H70</f>
        <v>80.8</v>
      </c>
      <c r="M45" s="1">
        <f>F70</f>
        <v>33</v>
      </c>
      <c r="N45" s="1">
        <f>D70</f>
        <v>1</v>
      </c>
      <c r="O45" s="1" t="s">
        <v>25</v>
      </c>
      <c r="Q45" s="1">
        <f>'کابینت هوایی'!P115</f>
        <v>92</v>
      </c>
      <c r="R45" s="1">
        <f>'کابینت هوایی'!O115</f>
        <v>41.8</v>
      </c>
      <c r="S45" s="1">
        <f>'کابینت هوایی'!P118</f>
        <v>2</v>
      </c>
      <c r="T45" s="1"/>
    </row>
    <row r="46" spans="2:20" x14ac:dyDescent="0.2">
      <c r="C46" s="1"/>
      <c r="D46" s="1">
        <f>'کابینت هوایی'!H41</f>
        <v>1</v>
      </c>
      <c r="E46" s="1">
        <f>'کابینت هوایی'!G40</f>
        <v>0</v>
      </c>
      <c r="F46" s="1">
        <f>'کابینت هوایی'!G38</f>
        <v>33</v>
      </c>
      <c r="G46" s="1">
        <f>'کابینت هوایی'!H40</f>
        <v>1</v>
      </c>
      <c r="H46" s="1">
        <f>'کابینت هوایی'!H38</f>
        <v>80.8</v>
      </c>
      <c r="I46" s="1" t="s">
        <v>28</v>
      </c>
      <c r="L46" s="1">
        <f>H71</f>
        <v>80.8</v>
      </c>
      <c r="M46" s="1">
        <f>F71</f>
        <v>32</v>
      </c>
      <c r="N46" s="1">
        <f>D71</f>
        <v>1</v>
      </c>
      <c r="O46" s="1" t="s">
        <v>25</v>
      </c>
      <c r="Q46" s="1">
        <f>'کابینت هوایی'!P122</f>
        <v>92</v>
      </c>
      <c r="R46" s="1">
        <f>'کابینت هوایی'!O122</f>
        <v>41.8</v>
      </c>
      <c r="S46" s="1">
        <f>'کابینت هوایی'!P125</f>
        <v>2</v>
      </c>
      <c r="T46" s="1"/>
    </row>
    <row r="47" spans="2:20" x14ac:dyDescent="0.2">
      <c r="C47" s="1"/>
      <c r="D47" s="1">
        <f>'کابینت هوایی'!J41</f>
        <v>1</v>
      </c>
      <c r="E47" s="1">
        <f>'کابینت هوایی'!I40</f>
        <v>0</v>
      </c>
      <c r="F47" s="1">
        <f>'کابینت هوایی'!I38</f>
        <v>32</v>
      </c>
      <c r="G47" s="1">
        <f>'کابینت هوایی'!J40</f>
        <v>1</v>
      </c>
      <c r="H47" s="1">
        <f>'کابینت هوایی'!J38</f>
        <v>80.8</v>
      </c>
      <c r="I47" s="1" t="s">
        <v>3</v>
      </c>
      <c r="L47" s="1">
        <f>H72</f>
        <v>80.8</v>
      </c>
      <c r="M47" s="1">
        <f>F72</f>
        <v>7</v>
      </c>
      <c r="N47" s="1">
        <f>D72</f>
        <v>1</v>
      </c>
      <c r="O47" s="1" t="s">
        <v>25</v>
      </c>
      <c r="Q47" s="1">
        <f>'کابینت هوایی'!P129</f>
        <v>92</v>
      </c>
      <c r="R47" s="1">
        <f>'کابینت هوایی'!O129</f>
        <v>41.8</v>
      </c>
      <c r="S47" s="1">
        <f>'کابینت هوایی'!P132</f>
        <v>2</v>
      </c>
      <c r="T47" s="1"/>
    </row>
    <row r="48" spans="2:20" x14ac:dyDescent="0.2">
      <c r="C48" s="1"/>
      <c r="D48" s="1">
        <f>'کابینت هوایی'!L41</f>
        <v>1</v>
      </c>
      <c r="E48" s="1">
        <f>'کابینت هوایی'!K40</f>
        <v>0</v>
      </c>
      <c r="F48" s="1">
        <f>'کابینت هوایی'!K38</f>
        <v>7</v>
      </c>
      <c r="G48" s="1">
        <f>'کابینت هوایی'!L40</f>
        <v>0</v>
      </c>
      <c r="H48" s="1">
        <f>'کابینت هوایی'!L38</f>
        <v>80.8</v>
      </c>
      <c r="I48" s="1" t="s">
        <v>4</v>
      </c>
      <c r="L48" s="1">
        <f>H76</f>
        <v>90</v>
      </c>
      <c r="M48" s="1">
        <f>F76</f>
        <v>35</v>
      </c>
      <c r="N48" s="1">
        <f>D76</f>
        <v>2</v>
      </c>
      <c r="O48" s="1" t="s">
        <v>25</v>
      </c>
      <c r="Q48" s="1">
        <f>'کابینت هوایی'!P136</f>
        <v>92</v>
      </c>
      <c r="R48" s="1">
        <f>'کابینت هوایی'!O136</f>
        <v>34.799999999999997</v>
      </c>
      <c r="S48" s="1">
        <f>'کابینت هوایی'!P139</f>
        <v>1</v>
      </c>
      <c r="T48" s="1"/>
    </row>
    <row r="49" spans="2:15" x14ac:dyDescent="0.2">
      <c r="L49" s="1">
        <f>H77</f>
        <v>80.8</v>
      </c>
      <c r="M49" s="1">
        <f>F77</f>
        <v>35</v>
      </c>
      <c r="N49" s="1">
        <f>D77</f>
        <v>1</v>
      </c>
      <c r="O49" s="1" t="s">
        <v>25</v>
      </c>
    </row>
    <row r="50" spans="2:15" ht="15.75" thickBot="1" x14ac:dyDescent="0.25">
      <c r="I50" s="37" t="s">
        <v>8</v>
      </c>
      <c r="L50" s="1">
        <f>H78</f>
        <v>80.8</v>
      </c>
      <c r="M50" s="1">
        <f>F78</f>
        <v>33</v>
      </c>
      <c r="N50" s="1">
        <f>D78</f>
        <v>1</v>
      </c>
      <c r="O50" s="1" t="s">
        <v>25</v>
      </c>
    </row>
    <row r="51" spans="2:15" ht="16.5" thickTop="1" thickBot="1" x14ac:dyDescent="0.25">
      <c r="B51" s="5">
        <v>7</v>
      </c>
      <c r="C51" s="3" t="s">
        <v>12</v>
      </c>
      <c r="D51" s="3" t="s">
        <v>5</v>
      </c>
      <c r="E51" s="3" t="s">
        <v>10</v>
      </c>
      <c r="F51" s="3" t="s">
        <v>11</v>
      </c>
      <c r="G51" s="3" t="s">
        <v>10</v>
      </c>
      <c r="H51" s="3" t="s">
        <v>9</v>
      </c>
      <c r="I51" s="36">
        <f>'کابینت هوایی'!B45</f>
        <v>84</v>
      </c>
      <c r="L51" s="1">
        <f>H79</f>
        <v>80.8</v>
      </c>
      <c r="M51" s="1">
        <f>F79</f>
        <v>32</v>
      </c>
      <c r="N51" s="1">
        <f>D79</f>
        <v>1</v>
      </c>
      <c r="O51" s="1" t="s">
        <v>25</v>
      </c>
    </row>
    <row r="52" spans="2:15" ht="15.75" thickTop="1" x14ac:dyDescent="0.2">
      <c r="C52" s="1"/>
      <c r="D52" s="1">
        <f>'کابینت هوایی'!D48</f>
        <v>2</v>
      </c>
      <c r="E52" s="1">
        <f>'کابینت هوایی'!C47</f>
        <v>1</v>
      </c>
      <c r="F52" s="1">
        <f>'کابینت هوایی'!C45</f>
        <v>35</v>
      </c>
      <c r="G52" s="1">
        <f>'کابینت هوایی'!D47</f>
        <v>1</v>
      </c>
      <c r="H52" s="1">
        <f>'کابینت هوایی'!D45</f>
        <v>90</v>
      </c>
      <c r="I52" s="1" t="s">
        <v>2</v>
      </c>
      <c r="L52" s="1">
        <f>H80</f>
        <v>80.8</v>
      </c>
      <c r="M52" s="1">
        <f>F80</f>
        <v>7</v>
      </c>
      <c r="N52" s="1">
        <f>D80</f>
        <v>1</v>
      </c>
      <c r="O52" s="1" t="s">
        <v>25</v>
      </c>
    </row>
    <row r="53" spans="2:15" x14ac:dyDescent="0.2">
      <c r="C53" s="1"/>
      <c r="D53" s="1">
        <f>'کابینت هوایی'!F48</f>
        <v>1</v>
      </c>
      <c r="E53" s="1">
        <f>'کابینت هوایی'!E47</f>
        <v>0</v>
      </c>
      <c r="F53" s="1">
        <f>'کابینت هوایی'!E45</f>
        <v>35</v>
      </c>
      <c r="G53" s="1">
        <f>'کابینت هوایی'!F47</f>
        <v>1</v>
      </c>
      <c r="H53" s="1">
        <f>'کابینت هوایی'!F45</f>
        <v>80.8</v>
      </c>
      <c r="I53" s="1" t="s">
        <v>1</v>
      </c>
      <c r="L53" s="1">
        <f>H84</f>
        <v>90</v>
      </c>
      <c r="M53" s="1">
        <f>F84</f>
        <v>35</v>
      </c>
      <c r="N53" s="1">
        <f>D84</f>
        <v>2</v>
      </c>
      <c r="O53" s="1" t="s">
        <v>25</v>
      </c>
    </row>
    <row r="54" spans="2:15" x14ac:dyDescent="0.2">
      <c r="C54" s="1"/>
      <c r="D54" s="1">
        <f>'کابینت هوایی'!H55</f>
        <v>1</v>
      </c>
      <c r="E54" s="1">
        <f>'کابینت هوایی'!G54</f>
        <v>0</v>
      </c>
      <c r="F54" s="1">
        <f>'کابینت هوایی'!G52</f>
        <v>33</v>
      </c>
      <c r="G54" s="1">
        <f>'کابینت هوایی'!H54</f>
        <v>1</v>
      </c>
      <c r="H54" s="1">
        <f>'کابینت هوایی'!H52</f>
        <v>80.8</v>
      </c>
      <c r="I54" s="1" t="s">
        <v>28</v>
      </c>
      <c r="L54" s="1">
        <f>H85</f>
        <v>80.8</v>
      </c>
      <c r="M54" s="1">
        <f>F85</f>
        <v>35</v>
      </c>
      <c r="N54" s="1">
        <f>D85</f>
        <v>1</v>
      </c>
      <c r="O54" s="1" t="s">
        <v>25</v>
      </c>
    </row>
    <row r="55" spans="2:15" x14ac:dyDescent="0.2">
      <c r="C55" s="1"/>
      <c r="D55" s="1">
        <f>'کابینت هوایی'!J55</f>
        <v>1</v>
      </c>
      <c r="E55" s="1">
        <f>'کابینت هوایی'!I54</f>
        <v>0</v>
      </c>
      <c r="F55" s="1">
        <f>'کابینت هوایی'!I52</f>
        <v>32</v>
      </c>
      <c r="G55" s="1">
        <f>'کابینت هوایی'!J54</f>
        <v>1</v>
      </c>
      <c r="H55" s="1">
        <f>'کابینت هوایی'!J52</f>
        <v>80.8</v>
      </c>
      <c r="I55" s="1" t="s">
        <v>3</v>
      </c>
      <c r="L55" s="1">
        <f>H86</f>
        <v>80.8</v>
      </c>
      <c r="M55" s="1">
        <f>F86</f>
        <v>33</v>
      </c>
      <c r="N55" s="1">
        <f>D86</f>
        <v>1</v>
      </c>
      <c r="O55" s="1" t="s">
        <v>25</v>
      </c>
    </row>
    <row r="56" spans="2:15" x14ac:dyDescent="0.2">
      <c r="C56" s="1"/>
      <c r="D56" s="1">
        <f>'کابینت هوایی'!L55</f>
        <v>1</v>
      </c>
      <c r="E56" s="1">
        <f>'کابینت هوایی'!K54</f>
        <v>0</v>
      </c>
      <c r="F56" s="1">
        <f>'کابینت هوایی'!K52</f>
        <v>7</v>
      </c>
      <c r="G56" s="1">
        <f>'کابینت هوایی'!L54</f>
        <v>0</v>
      </c>
      <c r="H56" s="1">
        <f>'کابینت هوایی'!L52</f>
        <v>80.8</v>
      </c>
      <c r="I56" s="1" t="s">
        <v>4</v>
      </c>
      <c r="L56" s="1">
        <f>H87</f>
        <v>80.8</v>
      </c>
      <c r="M56" s="1">
        <f>F87</f>
        <v>32</v>
      </c>
      <c r="N56" s="1">
        <f>D87</f>
        <v>1</v>
      </c>
      <c r="O56" s="1" t="s">
        <v>25</v>
      </c>
    </row>
    <row r="57" spans="2:15" x14ac:dyDescent="0.2">
      <c r="L57" s="1">
        <f>H88</f>
        <v>80.8</v>
      </c>
      <c r="M57" s="1">
        <f>F88</f>
        <v>7</v>
      </c>
      <c r="N57" s="1">
        <f>D88</f>
        <v>1</v>
      </c>
      <c r="O57" s="1" t="s">
        <v>25</v>
      </c>
    </row>
    <row r="58" spans="2:15" ht="15.75" thickBot="1" x14ac:dyDescent="0.25">
      <c r="I58" s="37" t="s">
        <v>8</v>
      </c>
      <c r="L58" s="1">
        <f>H92</f>
        <v>50</v>
      </c>
      <c r="M58" s="1">
        <f>F92</f>
        <v>35</v>
      </c>
      <c r="N58" s="1">
        <f>D92</f>
        <v>2</v>
      </c>
      <c r="O58" s="1" t="s">
        <v>25</v>
      </c>
    </row>
    <row r="59" spans="2:15" ht="16.5" thickTop="1" thickBot="1" x14ac:dyDescent="0.25">
      <c r="B59" s="5">
        <v>8</v>
      </c>
      <c r="C59" s="3" t="s">
        <v>12</v>
      </c>
      <c r="D59" s="3" t="s">
        <v>5</v>
      </c>
      <c r="E59" s="3" t="s">
        <v>10</v>
      </c>
      <c r="F59" s="3" t="s">
        <v>11</v>
      </c>
      <c r="G59" s="3" t="s">
        <v>10</v>
      </c>
      <c r="H59" s="3" t="s">
        <v>9</v>
      </c>
      <c r="I59" s="36">
        <f>'کابینت هوایی'!B52</f>
        <v>84</v>
      </c>
      <c r="L59" s="1">
        <f>H93</f>
        <v>80.8</v>
      </c>
      <c r="M59" s="1">
        <f>F93</f>
        <v>35</v>
      </c>
      <c r="N59" s="1">
        <f>D93</f>
        <v>1</v>
      </c>
      <c r="O59" s="1" t="s">
        <v>25</v>
      </c>
    </row>
    <row r="60" spans="2:15" ht="15.75" thickTop="1" x14ac:dyDescent="0.2">
      <c r="C60" s="1"/>
      <c r="D60" s="1">
        <f>'کابینت هوایی'!D55</f>
        <v>2</v>
      </c>
      <c r="E60" s="1">
        <f>'کابینت هوایی'!C54</f>
        <v>1</v>
      </c>
      <c r="F60" s="1">
        <f>'کابینت هوایی'!C52</f>
        <v>35</v>
      </c>
      <c r="G60" s="1">
        <f>'کابینت هوایی'!D54</f>
        <v>1</v>
      </c>
      <c r="H60" s="1">
        <f>'کابینت هوایی'!D52</f>
        <v>90</v>
      </c>
      <c r="I60" s="1" t="s">
        <v>2</v>
      </c>
      <c r="L60" s="1">
        <f>H94</f>
        <v>80.8</v>
      </c>
      <c r="M60" s="1">
        <f>F94</f>
        <v>33</v>
      </c>
      <c r="N60" s="1">
        <f>D94</f>
        <v>1</v>
      </c>
      <c r="O60" s="1" t="s">
        <v>25</v>
      </c>
    </row>
    <row r="61" spans="2:15" x14ac:dyDescent="0.2">
      <c r="C61" s="1"/>
      <c r="D61" s="1">
        <f>'کابینت هوایی'!F55</f>
        <v>1</v>
      </c>
      <c r="E61" s="1">
        <f>'کابینت هوایی'!E54</f>
        <v>0</v>
      </c>
      <c r="F61" s="1">
        <f>'کابینت هوایی'!E52</f>
        <v>35</v>
      </c>
      <c r="G61" s="1">
        <f>'کابینت هوایی'!F54</f>
        <v>1</v>
      </c>
      <c r="H61" s="1">
        <f>'کابینت هوایی'!F52</f>
        <v>80.8</v>
      </c>
      <c r="I61" s="1" t="s">
        <v>1</v>
      </c>
      <c r="L61" s="1">
        <f>H95</f>
        <v>80.8</v>
      </c>
      <c r="M61" s="1">
        <f>F95</f>
        <v>32</v>
      </c>
      <c r="N61" s="1">
        <f>D95</f>
        <v>1</v>
      </c>
      <c r="O61" s="1" t="s">
        <v>25</v>
      </c>
    </row>
    <row r="62" spans="2:15" x14ac:dyDescent="0.2">
      <c r="C62" s="1"/>
      <c r="D62" s="1">
        <f>'کابینت هوایی'!H55</f>
        <v>1</v>
      </c>
      <c r="E62" s="1">
        <f>'کابینت هوایی'!G54</f>
        <v>0</v>
      </c>
      <c r="F62" s="1">
        <f>'کابینت هوایی'!G52</f>
        <v>33</v>
      </c>
      <c r="G62" s="1">
        <f>'کابینت هوایی'!H54</f>
        <v>1</v>
      </c>
      <c r="H62" s="1">
        <f>'کابینت هوایی'!H52</f>
        <v>80.8</v>
      </c>
      <c r="I62" s="1" t="s">
        <v>28</v>
      </c>
      <c r="L62" s="1">
        <f>H96</f>
        <v>80.8</v>
      </c>
      <c r="M62" s="1">
        <f>F96</f>
        <v>7</v>
      </c>
      <c r="N62" s="1">
        <f>D96</f>
        <v>1</v>
      </c>
      <c r="O62" s="1" t="s">
        <v>25</v>
      </c>
    </row>
    <row r="63" spans="2:15" x14ac:dyDescent="0.2">
      <c r="C63" s="1"/>
      <c r="D63" s="1">
        <f>'کابینت هوایی'!J55</f>
        <v>1</v>
      </c>
      <c r="E63" s="1">
        <f>'کابینت هوایی'!I54</f>
        <v>0</v>
      </c>
      <c r="F63" s="1">
        <f>'کابینت هوایی'!I52</f>
        <v>32</v>
      </c>
      <c r="G63" s="1">
        <f>'کابینت هوایی'!J54</f>
        <v>1</v>
      </c>
      <c r="H63" s="1">
        <f>'کابینت هوایی'!J52</f>
        <v>80.8</v>
      </c>
      <c r="I63" s="1" t="s">
        <v>3</v>
      </c>
      <c r="L63" s="1">
        <f>H100</f>
        <v>90</v>
      </c>
      <c r="M63" s="1">
        <f>F100</f>
        <v>35</v>
      </c>
      <c r="N63" s="1">
        <f>D100</f>
        <v>2</v>
      </c>
      <c r="O63" s="1" t="s">
        <v>25</v>
      </c>
    </row>
    <row r="64" spans="2:15" x14ac:dyDescent="0.2">
      <c r="C64" s="1"/>
      <c r="D64" s="1">
        <f>'کابینت هوایی'!L55</f>
        <v>1</v>
      </c>
      <c r="E64" s="1">
        <f>'کابینت هوایی'!K54</f>
        <v>0</v>
      </c>
      <c r="F64" s="1">
        <f>'کابینت هوایی'!K52</f>
        <v>7</v>
      </c>
      <c r="G64" s="1">
        <f>'کابینت هوایی'!L54</f>
        <v>0</v>
      </c>
      <c r="H64" s="1">
        <f>'کابینت هوایی'!L52</f>
        <v>80.8</v>
      </c>
      <c r="I64" s="1" t="s">
        <v>4</v>
      </c>
      <c r="L64" s="1">
        <f>H101</f>
        <v>80.8</v>
      </c>
      <c r="M64" s="1">
        <f>F101</f>
        <v>35</v>
      </c>
      <c r="N64" s="1">
        <f>D101</f>
        <v>1</v>
      </c>
      <c r="O64" s="1" t="s">
        <v>25</v>
      </c>
    </row>
    <row r="65" spans="2:15" x14ac:dyDescent="0.2">
      <c r="L65" s="1">
        <f>H102</f>
        <v>80.8</v>
      </c>
      <c r="M65" s="1">
        <f>F102</f>
        <v>33</v>
      </c>
      <c r="N65" s="1">
        <f>D102</f>
        <v>1</v>
      </c>
      <c r="O65" s="1" t="s">
        <v>25</v>
      </c>
    </row>
    <row r="66" spans="2:15" ht="15.75" thickBot="1" x14ac:dyDescent="0.25">
      <c r="I66" s="37" t="s">
        <v>8</v>
      </c>
      <c r="L66" s="1">
        <f>H103</f>
        <v>80.8</v>
      </c>
      <c r="M66" s="1">
        <f>F103</f>
        <v>32</v>
      </c>
      <c r="N66" s="1">
        <f>D103</f>
        <v>1</v>
      </c>
      <c r="O66" s="1" t="s">
        <v>25</v>
      </c>
    </row>
    <row r="67" spans="2:15" ht="16.5" thickTop="1" thickBot="1" x14ac:dyDescent="0.25">
      <c r="B67" s="5">
        <v>9</v>
      </c>
      <c r="C67" s="3" t="s">
        <v>12</v>
      </c>
      <c r="D67" s="3" t="s">
        <v>5</v>
      </c>
      <c r="E67" s="3" t="s">
        <v>10</v>
      </c>
      <c r="F67" s="3" t="s">
        <v>11</v>
      </c>
      <c r="G67" s="3" t="s">
        <v>10</v>
      </c>
      <c r="H67" s="3" t="s">
        <v>9</v>
      </c>
      <c r="I67" s="36">
        <f>'کابینت هوایی'!B59</f>
        <v>84</v>
      </c>
      <c r="L67" s="1">
        <f>H104</f>
        <v>80.8</v>
      </c>
      <c r="M67" s="1">
        <f>F104</f>
        <v>7</v>
      </c>
      <c r="N67" s="1">
        <f>D104</f>
        <v>1</v>
      </c>
      <c r="O67" s="1" t="s">
        <v>25</v>
      </c>
    </row>
    <row r="68" spans="2:15" ht="15.75" thickTop="1" x14ac:dyDescent="0.2">
      <c r="C68" s="1"/>
      <c r="D68" s="1">
        <f>'کابینت هوایی'!D62</f>
        <v>2</v>
      </c>
      <c r="E68" s="1">
        <f>'کابینت هوایی'!C61</f>
        <v>1</v>
      </c>
      <c r="F68" s="1">
        <f>'کابینت هوایی'!C59</f>
        <v>35</v>
      </c>
      <c r="G68" s="1">
        <f>'کابینت هوایی'!D61</f>
        <v>1</v>
      </c>
      <c r="H68" s="1">
        <f>'کابینت هوایی'!D59</f>
        <v>90</v>
      </c>
      <c r="I68" s="1" t="s">
        <v>2</v>
      </c>
      <c r="L68" s="1">
        <f>H108</f>
        <v>90</v>
      </c>
      <c r="M68" s="1">
        <f>F108</f>
        <v>35</v>
      </c>
      <c r="N68" s="1">
        <f>D108</f>
        <v>2</v>
      </c>
      <c r="O68" s="1" t="s">
        <v>25</v>
      </c>
    </row>
    <row r="69" spans="2:15" x14ac:dyDescent="0.2">
      <c r="C69" s="1"/>
      <c r="D69" s="1">
        <f>'کابینت هوایی'!F62</f>
        <v>1</v>
      </c>
      <c r="E69" s="1">
        <f>'کابینت هوایی'!E61</f>
        <v>0</v>
      </c>
      <c r="F69" s="1">
        <f>'کابینت هوایی'!E59</f>
        <v>35</v>
      </c>
      <c r="G69" s="1">
        <f>'کابینت هوایی'!H61</f>
        <v>1</v>
      </c>
      <c r="H69" s="1">
        <f>'کابینت هوایی'!F59</f>
        <v>80.8</v>
      </c>
      <c r="I69" s="1" t="s">
        <v>1</v>
      </c>
      <c r="L69" s="1">
        <f>H109</f>
        <v>80.8</v>
      </c>
      <c r="M69" s="1">
        <f>F109</f>
        <v>35</v>
      </c>
      <c r="N69" s="1">
        <f>D109</f>
        <v>1</v>
      </c>
      <c r="O69" s="1" t="s">
        <v>25</v>
      </c>
    </row>
    <row r="70" spans="2:15" x14ac:dyDescent="0.2">
      <c r="C70" s="1"/>
      <c r="D70" s="1">
        <f>'کابینت هوایی'!H62</f>
        <v>1</v>
      </c>
      <c r="E70" s="1">
        <f>'کابینت هوایی'!G61</f>
        <v>0</v>
      </c>
      <c r="F70" s="1">
        <f>'کابینت هوایی'!G59</f>
        <v>33</v>
      </c>
      <c r="G70" s="1">
        <f>'کابینت هوایی'!H61</f>
        <v>1</v>
      </c>
      <c r="H70" s="1">
        <f>'کابینت هوایی'!H59</f>
        <v>80.8</v>
      </c>
      <c r="I70" s="1" t="s">
        <v>28</v>
      </c>
      <c r="L70" s="1">
        <f>H110</f>
        <v>80.8</v>
      </c>
      <c r="M70" s="1">
        <f>F110</f>
        <v>33</v>
      </c>
      <c r="N70" s="1">
        <f>D110</f>
        <v>1</v>
      </c>
      <c r="O70" s="1" t="s">
        <v>25</v>
      </c>
    </row>
    <row r="71" spans="2:15" x14ac:dyDescent="0.2">
      <c r="C71" s="1"/>
      <c r="D71" s="1">
        <f>'کابینت هوایی'!J62</f>
        <v>1</v>
      </c>
      <c r="E71" s="1">
        <f>'کابینت هوایی'!I61</f>
        <v>0</v>
      </c>
      <c r="F71" s="1">
        <f>'کابینت هوایی'!I59</f>
        <v>32</v>
      </c>
      <c r="G71" s="1">
        <f>'کابینت هوایی'!J61</f>
        <v>1</v>
      </c>
      <c r="H71" s="1">
        <f>'کابینت هوایی'!J59</f>
        <v>80.8</v>
      </c>
      <c r="I71" s="1" t="s">
        <v>3</v>
      </c>
      <c r="L71" s="1">
        <f>H111</f>
        <v>80.8</v>
      </c>
      <c r="M71" s="1">
        <f>F111</f>
        <v>32</v>
      </c>
      <c r="N71" s="1">
        <f>D111</f>
        <v>1</v>
      </c>
      <c r="O71" s="1" t="s">
        <v>25</v>
      </c>
    </row>
    <row r="72" spans="2:15" x14ac:dyDescent="0.2">
      <c r="C72" s="1"/>
      <c r="D72" s="1">
        <f>'کابینت هوایی'!L62</f>
        <v>1</v>
      </c>
      <c r="E72" s="1">
        <f>'کابینت هوایی'!K61</f>
        <v>0</v>
      </c>
      <c r="F72" s="1">
        <f>'کابینت هوایی'!K59</f>
        <v>7</v>
      </c>
      <c r="G72" s="1">
        <f>'کابینت هوایی'!L61</f>
        <v>0</v>
      </c>
      <c r="H72" s="1">
        <f>'کابینت هوایی'!L59</f>
        <v>80.8</v>
      </c>
      <c r="I72" s="1" t="s">
        <v>4</v>
      </c>
      <c r="L72" s="1">
        <f>H112</f>
        <v>80.8</v>
      </c>
      <c r="M72" s="1">
        <f>F112</f>
        <v>7</v>
      </c>
      <c r="N72" s="1">
        <f>D112</f>
        <v>1</v>
      </c>
      <c r="O72" s="1" t="s">
        <v>25</v>
      </c>
    </row>
    <row r="73" spans="2:15" x14ac:dyDescent="0.2">
      <c r="L73" s="1">
        <f>H116</f>
        <v>90</v>
      </c>
      <c r="M73" s="1">
        <f>F116</f>
        <v>35</v>
      </c>
      <c r="N73" s="1">
        <f>D116</f>
        <v>2</v>
      </c>
      <c r="O73" s="1" t="s">
        <v>25</v>
      </c>
    </row>
    <row r="74" spans="2:15" ht="15.75" thickBot="1" x14ac:dyDescent="0.25">
      <c r="I74" s="37" t="s">
        <v>8</v>
      </c>
      <c r="L74" s="1">
        <f>H117</f>
        <v>80.8</v>
      </c>
      <c r="M74" s="1">
        <f>F117</f>
        <v>35</v>
      </c>
      <c r="N74" s="1">
        <f>D117</f>
        <v>1</v>
      </c>
      <c r="O74" s="1" t="s">
        <v>25</v>
      </c>
    </row>
    <row r="75" spans="2:15" ht="16.5" thickTop="1" thickBot="1" x14ac:dyDescent="0.25">
      <c r="B75" s="5">
        <v>10</v>
      </c>
      <c r="C75" s="3" t="s">
        <v>12</v>
      </c>
      <c r="D75" s="3" t="s">
        <v>5</v>
      </c>
      <c r="E75" s="3" t="s">
        <v>10</v>
      </c>
      <c r="F75" s="3" t="s">
        <v>11</v>
      </c>
      <c r="G75" s="3" t="s">
        <v>10</v>
      </c>
      <c r="H75" s="3" t="s">
        <v>9</v>
      </c>
      <c r="I75" s="36">
        <f>'کابینت هوایی'!B66</f>
        <v>84</v>
      </c>
      <c r="L75" s="1">
        <f>H118</f>
        <v>80.8</v>
      </c>
      <c r="M75" s="1">
        <f>F118</f>
        <v>33</v>
      </c>
      <c r="N75" s="1">
        <f>D118</f>
        <v>1</v>
      </c>
      <c r="O75" s="1" t="s">
        <v>25</v>
      </c>
    </row>
    <row r="76" spans="2:15" ht="15.75" thickTop="1" x14ac:dyDescent="0.2">
      <c r="C76" s="1"/>
      <c r="D76" s="1">
        <f>'کابینت هوایی'!D69</f>
        <v>2</v>
      </c>
      <c r="E76" s="1">
        <f>'کابینت هوایی'!C68</f>
        <v>1</v>
      </c>
      <c r="F76" s="1">
        <f>'کابینت هوایی'!C66</f>
        <v>35</v>
      </c>
      <c r="G76" s="1">
        <f>'کابینت هوایی'!D68</f>
        <v>1</v>
      </c>
      <c r="H76" s="1">
        <f>'کابینت هوایی'!D66</f>
        <v>90</v>
      </c>
      <c r="I76" s="1" t="s">
        <v>2</v>
      </c>
      <c r="L76" s="1">
        <f>H119</f>
        <v>80.8</v>
      </c>
      <c r="M76" s="1">
        <f>F119</f>
        <v>32</v>
      </c>
      <c r="N76" s="1">
        <f>D119</f>
        <v>1</v>
      </c>
      <c r="O76" s="1" t="s">
        <v>25</v>
      </c>
    </row>
    <row r="77" spans="2:15" x14ac:dyDescent="0.2">
      <c r="C77" s="1"/>
      <c r="D77" s="1">
        <f>'کابینت هوایی'!F69</f>
        <v>1</v>
      </c>
      <c r="E77" s="1">
        <f>'کابینت هوایی'!E68</f>
        <v>0</v>
      </c>
      <c r="F77" s="1">
        <f>'کابینت هوایی'!E66</f>
        <v>35</v>
      </c>
      <c r="G77" s="1">
        <f>'کابینت هوایی'!F68</f>
        <v>1</v>
      </c>
      <c r="H77" s="1">
        <f>'کابینت هوایی'!F66</f>
        <v>80.8</v>
      </c>
      <c r="I77" s="1" t="s">
        <v>1</v>
      </c>
      <c r="L77" s="1">
        <f>H120</f>
        <v>80.8</v>
      </c>
      <c r="M77" s="1">
        <f>F120</f>
        <v>7</v>
      </c>
      <c r="N77" s="1">
        <f>D120</f>
        <v>1</v>
      </c>
      <c r="O77" s="1" t="s">
        <v>25</v>
      </c>
    </row>
    <row r="78" spans="2:15" x14ac:dyDescent="0.2">
      <c r="C78" s="1"/>
      <c r="D78" s="1">
        <f>'کابینت هوایی'!H69</f>
        <v>1</v>
      </c>
      <c r="E78" s="1">
        <f>'کابینت هوایی'!G68</f>
        <v>0</v>
      </c>
      <c r="F78" s="1">
        <f>'کابینت هوایی'!G66</f>
        <v>33</v>
      </c>
      <c r="G78" s="1">
        <f>'کابینت هوایی'!H68</f>
        <v>1</v>
      </c>
      <c r="H78" s="1">
        <f>'کابینت هوایی'!H66</f>
        <v>80.8</v>
      </c>
      <c r="I78" s="1" t="s">
        <v>28</v>
      </c>
      <c r="L78" s="1">
        <f>H124</f>
        <v>90</v>
      </c>
      <c r="M78" s="1">
        <f>F124</f>
        <v>35</v>
      </c>
      <c r="N78" s="1">
        <f>D124</f>
        <v>2</v>
      </c>
      <c r="O78" s="1" t="s">
        <v>25</v>
      </c>
    </row>
    <row r="79" spans="2:15" x14ac:dyDescent="0.2">
      <c r="C79" s="1"/>
      <c r="D79" s="1">
        <f>'کابینت هوایی'!J69</f>
        <v>1</v>
      </c>
      <c r="E79" s="1">
        <f>'کابینت هوایی'!I68</f>
        <v>0</v>
      </c>
      <c r="F79" s="1">
        <f>'کابینت هوایی'!I66</f>
        <v>32</v>
      </c>
      <c r="G79" s="1">
        <f>'کابینت هوایی'!J68</f>
        <v>1</v>
      </c>
      <c r="H79" s="1">
        <f>'کابینت هوایی'!J66</f>
        <v>80.8</v>
      </c>
      <c r="I79" s="1" t="s">
        <v>3</v>
      </c>
      <c r="L79" s="1">
        <f>H125</f>
        <v>80.8</v>
      </c>
      <c r="M79" s="1">
        <f>F125</f>
        <v>35</v>
      </c>
      <c r="N79" s="1">
        <f>D125</f>
        <v>1</v>
      </c>
      <c r="O79" s="1" t="s">
        <v>25</v>
      </c>
    </row>
    <row r="80" spans="2:15" x14ac:dyDescent="0.2">
      <c r="C80" s="1"/>
      <c r="D80" s="1">
        <f>'کابینت هوایی'!L69</f>
        <v>1</v>
      </c>
      <c r="E80" s="1">
        <f>'کابینت هوایی'!K68</f>
        <v>0</v>
      </c>
      <c r="F80" s="1">
        <f>'کابینت هوایی'!K66</f>
        <v>7</v>
      </c>
      <c r="G80" s="1">
        <f>'کابینت هوایی'!L68</f>
        <v>0</v>
      </c>
      <c r="H80" s="1">
        <f>'کابینت هوایی'!L66</f>
        <v>80.8</v>
      </c>
      <c r="I80" s="1" t="s">
        <v>4</v>
      </c>
      <c r="L80" s="1">
        <f>H126</f>
        <v>80.8</v>
      </c>
      <c r="M80" s="1">
        <f>F126</f>
        <v>33</v>
      </c>
      <c r="N80" s="1">
        <f>D126</f>
        <v>1</v>
      </c>
      <c r="O80" s="1" t="s">
        <v>25</v>
      </c>
    </row>
    <row r="81" spans="2:15" x14ac:dyDescent="0.2">
      <c r="L81" s="1">
        <f>H127</f>
        <v>80.8</v>
      </c>
      <c r="M81" s="1">
        <f>F127</f>
        <v>32</v>
      </c>
      <c r="N81" s="1">
        <f>D127</f>
        <v>1</v>
      </c>
      <c r="O81" s="1" t="s">
        <v>25</v>
      </c>
    </row>
    <row r="82" spans="2:15" ht="15.75" thickBot="1" x14ac:dyDescent="0.25">
      <c r="I82" s="37" t="s">
        <v>8</v>
      </c>
      <c r="L82" s="1">
        <f>H128</f>
        <v>80.8</v>
      </c>
      <c r="M82" s="1">
        <f>F128</f>
        <v>7</v>
      </c>
      <c r="N82" s="1">
        <f>D128</f>
        <v>1</v>
      </c>
      <c r="O82" s="1" t="s">
        <v>25</v>
      </c>
    </row>
    <row r="83" spans="2:15" ht="16.5" thickTop="1" thickBot="1" x14ac:dyDescent="0.25">
      <c r="B83" s="5">
        <v>11</v>
      </c>
      <c r="C83" s="3" t="s">
        <v>12</v>
      </c>
      <c r="D83" s="3" t="s">
        <v>5</v>
      </c>
      <c r="E83" s="3" t="s">
        <v>10</v>
      </c>
      <c r="F83" s="3" t="s">
        <v>11</v>
      </c>
      <c r="G83" s="3" t="s">
        <v>10</v>
      </c>
      <c r="H83" s="3" t="s">
        <v>9</v>
      </c>
      <c r="I83" s="36">
        <f>'کابینت هوایی'!B73</f>
        <v>84</v>
      </c>
      <c r="L83" s="1">
        <f>H132</f>
        <v>90</v>
      </c>
      <c r="M83" s="1">
        <f>F132</f>
        <v>35</v>
      </c>
      <c r="N83" s="1">
        <f>D132</f>
        <v>2</v>
      </c>
      <c r="O83" s="1" t="s">
        <v>25</v>
      </c>
    </row>
    <row r="84" spans="2:15" ht="15.75" thickTop="1" x14ac:dyDescent="0.2">
      <c r="C84" s="1"/>
      <c r="D84" s="1">
        <f>'کابینت هوایی'!D76</f>
        <v>2</v>
      </c>
      <c r="E84" s="1">
        <f>'کابینت هوایی'!C75</f>
        <v>1</v>
      </c>
      <c r="F84" s="1">
        <f>'کابینت هوایی'!C73</f>
        <v>35</v>
      </c>
      <c r="G84" s="1">
        <f>'کابینت هوایی'!D75</f>
        <v>1</v>
      </c>
      <c r="H84" s="1">
        <f>'کابینت هوایی'!D73</f>
        <v>90</v>
      </c>
      <c r="I84" s="1" t="s">
        <v>2</v>
      </c>
      <c r="L84" s="1">
        <f>H133</f>
        <v>80.8</v>
      </c>
      <c r="M84" s="1">
        <f>F133</f>
        <v>35</v>
      </c>
      <c r="N84" s="1">
        <f>D133</f>
        <v>1</v>
      </c>
      <c r="O84" s="1" t="s">
        <v>25</v>
      </c>
    </row>
    <row r="85" spans="2:15" x14ac:dyDescent="0.2">
      <c r="C85" s="1"/>
      <c r="D85" s="1">
        <f>'کابینت هوایی'!F76</f>
        <v>1</v>
      </c>
      <c r="E85" s="1">
        <f>'کابینت هوایی'!E75</f>
        <v>0</v>
      </c>
      <c r="F85" s="1">
        <f>'کابینت هوایی'!E73</f>
        <v>35</v>
      </c>
      <c r="G85" s="1">
        <f>'کابینت هوایی'!F75</f>
        <v>1</v>
      </c>
      <c r="H85" s="1">
        <f>'کابینت هوایی'!F73</f>
        <v>80.8</v>
      </c>
      <c r="I85" s="1" t="s">
        <v>1</v>
      </c>
      <c r="L85" s="1">
        <f>H134</f>
        <v>80.8</v>
      </c>
      <c r="M85" s="1">
        <f>F134</f>
        <v>33</v>
      </c>
      <c r="N85" s="1">
        <f>D134</f>
        <v>1</v>
      </c>
      <c r="O85" s="1" t="s">
        <v>25</v>
      </c>
    </row>
    <row r="86" spans="2:15" x14ac:dyDescent="0.2">
      <c r="C86" s="1"/>
      <c r="D86" s="1">
        <f>'کابینت هوایی'!H76</f>
        <v>1</v>
      </c>
      <c r="E86" s="1">
        <f>'کابینت هوایی'!G75</f>
        <v>0</v>
      </c>
      <c r="F86" s="1">
        <f>'کابینت هوایی'!G73</f>
        <v>33</v>
      </c>
      <c r="G86" s="1">
        <f>'کابینت هوایی'!H75</f>
        <v>1</v>
      </c>
      <c r="H86" s="1">
        <f>'کابینت هوایی'!H73</f>
        <v>80.8</v>
      </c>
      <c r="I86" s="1" t="s">
        <v>28</v>
      </c>
      <c r="L86" s="1">
        <f>H135</f>
        <v>80.8</v>
      </c>
      <c r="M86" s="1">
        <f>F135</f>
        <v>32</v>
      </c>
      <c r="N86" s="1">
        <f>D135</f>
        <v>1</v>
      </c>
      <c r="O86" s="1" t="s">
        <v>25</v>
      </c>
    </row>
    <row r="87" spans="2:15" x14ac:dyDescent="0.2">
      <c r="C87" s="1"/>
      <c r="D87" s="1">
        <f>'کابینت هوایی'!J76</f>
        <v>1</v>
      </c>
      <c r="E87" s="1">
        <f>'کابینت هوایی'!I75</f>
        <v>0</v>
      </c>
      <c r="F87" s="1">
        <f>'کابینت هوایی'!I73</f>
        <v>32</v>
      </c>
      <c r="G87" s="1">
        <f>'کابینت هوایی'!J75</f>
        <v>1</v>
      </c>
      <c r="H87" s="1">
        <f>'کابینت هوایی'!J73</f>
        <v>80.8</v>
      </c>
      <c r="I87" s="1" t="s">
        <v>3</v>
      </c>
      <c r="L87" s="1">
        <f>H136</f>
        <v>80.8</v>
      </c>
      <c r="M87" s="1">
        <f>F136</f>
        <v>7</v>
      </c>
      <c r="N87" s="1">
        <f>D136</f>
        <v>1</v>
      </c>
      <c r="O87" s="1" t="s">
        <v>25</v>
      </c>
    </row>
    <row r="88" spans="2:15" x14ac:dyDescent="0.2">
      <c r="C88" s="1"/>
      <c r="D88" s="1">
        <f>'کابینت هوایی'!L76</f>
        <v>1</v>
      </c>
      <c r="E88" s="1">
        <f>'کابینت هوایی'!K75</f>
        <v>0</v>
      </c>
      <c r="F88" s="1">
        <f>'کابینت هوایی'!K73</f>
        <v>7</v>
      </c>
      <c r="G88" s="1">
        <f>'کابینت هوایی'!L75</f>
        <v>0</v>
      </c>
      <c r="H88" s="1">
        <f>'کابینت هوایی'!L73</f>
        <v>80.8</v>
      </c>
      <c r="I88" s="1" t="s">
        <v>4</v>
      </c>
      <c r="L88" s="1">
        <f>H140</f>
        <v>90</v>
      </c>
      <c r="M88" s="1">
        <f>F140</f>
        <v>35</v>
      </c>
      <c r="N88" s="1">
        <f>D140</f>
        <v>2</v>
      </c>
      <c r="O88" s="1" t="s">
        <v>25</v>
      </c>
    </row>
    <row r="89" spans="2:15" x14ac:dyDescent="0.2">
      <c r="L89" s="1">
        <f>H141</f>
        <v>80.8</v>
      </c>
      <c r="M89" s="1">
        <f>F141</f>
        <v>35</v>
      </c>
      <c r="N89" s="1">
        <f>D141</f>
        <v>1</v>
      </c>
      <c r="O89" s="1" t="s">
        <v>25</v>
      </c>
    </row>
    <row r="90" spans="2:15" ht="15.75" thickBot="1" x14ac:dyDescent="0.25">
      <c r="I90" s="37" t="s">
        <v>8</v>
      </c>
      <c r="L90" s="1">
        <f>H142</f>
        <v>80.8</v>
      </c>
      <c r="M90" s="1">
        <f>F142</f>
        <v>33</v>
      </c>
      <c r="N90" s="1">
        <f>D142</f>
        <v>1</v>
      </c>
      <c r="O90" s="1" t="s">
        <v>25</v>
      </c>
    </row>
    <row r="91" spans="2:15" ht="16.5" thickTop="1" thickBot="1" x14ac:dyDescent="0.25">
      <c r="B91" s="5">
        <v>12</v>
      </c>
      <c r="C91" s="3" t="s">
        <v>12</v>
      </c>
      <c r="D91" s="3" t="s">
        <v>5</v>
      </c>
      <c r="E91" s="3" t="s">
        <v>10</v>
      </c>
      <c r="F91" s="3" t="s">
        <v>11</v>
      </c>
      <c r="G91" s="3" t="s">
        <v>10</v>
      </c>
      <c r="H91" s="3" t="s">
        <v>9</v>
      </c>
      <c r="I91" s="36">
        <f>'کابینت هوایی'!B80</f>
        <v>84</v>
      </c>
      <c r="L91" s="1">
        <f>H143</f>
        <v>80.8</v>
      </c>
      <c r="M91" s="1">
        <f>F143</f>
        <v>32</v>
      </c>
      <c r="N91" s="1">
        <f>D143</f>
        <v>1</v>
      </c>
      <c r="O91" s="1" t="s">
        <v>25</v>
      </c>
    </row>
    <row r="92" spans="2:15" ht="15.75" thickTop="1" x14ac:dyDescent="0.2">
      <c r="C92" s="1"/>
      <c r="D92" s="1">
        <f>'کابینت هوایی'!D83</f>
        <v>2</v>
      </c>
      <c r="E92" s="1">
        <f>'کابینت هوایی'!C82</f>
        <v>1</v>
      </c>
      <c r="F92" s="1">
        <f>'کابینت هوایی'!C80</f>
        <v>35</v>
      </c>
      <c r="G92" s="1">
        <f>'کابینت هوایی'!D82</f>
        <v>1</v>
      </c>
      <c r="H92" s="1">
        <f>'کابینت هوایی'!D80</f>
        <v>50</v>
      </c>
      <c r="I92" s="1" t="s">
        <v>2</v>
      </c>
      <c r="L92" s="1">
        <f>H144</f>
        <v>80.8</v>
      </c>
      <c r="M92" s="1">
        <f>F144</f>
        <v>7</v>
      </c>
      <c r="N92" s="1">
        <f>D144</f>
        <v>1</v>
      </c>
      <c r="O92" s="1" t="s">
        <v>25</v>
      </c>
    </row>
    <row r="93" spans="2:15" x14ac:dyDescent="0.2">
      <c r="C93" s="1"/>
      <c r="D93" s="1">
        <f>'کابینت هوایی'!F83</f>
        <v>1</v>
      </c>
      <c r="E93" s="1">
        <f>'کابینت هوایی'!E82</f>
        <v>0</v>
      </c>
      <c r="F93" s="1">
        <f>'کابینت هوایی'!E80</f>
        <v>35</v>
      </c>
      <c r="G93" s="1">
        <f>'کابینت هوایی'!F82</f>
        <v>1</v>
      </c>
      <c r="H93" s="1">
        <f>'کابینت هوایی'!F80</f>
        <v>80.8</v>
      </c>
      <c r="I93" s="1" t="s">
        <v>1</v>
      </c>
      <c r="L93" s="1">
        <f>H148</f>
        <v>90</v>
      </c>
      <c r="M93" s="1">
        <f>F148</f>
        <v>35</v>
      </c>
      <c r="N93" s="1">
        <f>D148</f>
        <v>2</v>
      </c>
      <c r="O93" s="1" t="s">
        <v>25</v>
      </c>
    </row>
    <row r="94" spans="2:15" x14ac:dyDescent="0.2">
      <c r="C94" s="1"/>
      <c r="D94" s="1">
        <f>'کابینت هوایی'!H83</f>
        <v>1</v>
      </c>
      <c r="E94" s="1">
        <f>'کابینت هوایی'!G82</f>
        <v>0</v>
      </c>
      <c r="F94" s="1">
        <f>'کابینت هوایی'!G80</f>
        <v>33</v>
      </c>
      <c r="G94" s="1">
        <f>'کابینت هوایی'!H82</f>
        <v>1</v>
      </c>
      <c r="H94" s="1">
        <f>'کابینت هوایی'!H80</f>
        <v>80.8</v>
      </c>
      <c r="I94" s="1" t="s">
        <v>28</v>
      </c>
      <c r="L94" s="1">
        <f>H149</f>
        <v>80.8</v>
      </c>
      <c r="M94" s="1">
        <f>F149</f>
        <v>35</v>
      </c>
      <c r="N94" s="1">
        <f>D149</f>
        <v>1</v>
      </c>
      <c r="O94" s="1" t="s">
        <v>25</v>
      </c>
    </row>
    <row r="95" spans="2:15" x14ac:dyDescent="0.2">
      <c r="C95" s="1"/>
      <c r="D95" s="1">
        <f>'کابینت هوایی'!J83</f>
        <v>1</v>
      </c>
      <c r="E95" s="1">
        <f>'کابینت هوایی'!I82</f>
        <v>0</v>
      </c>
      <c r="F95" s="1">
        <f>'کابینت هوایی'!I80</f>
        <v>32</v>
      </c>
      <c r="G95" s="1">
        <f>'کابینت هوایی'!J82</f>
        <v>1</v>
      </c>
      <c r="H95" s="1">
        <f>'کابینت هوایی'!J80</f>
        <v>80.8</v>
      </c>
      <c r="I95" s="1" t="s">
        <v>3</v>
      </c>
      <c r="L95" s="1">
        <f>H150</f>
        <v>80.8</v>
      </c>
      <c r="M95" s="1">
        <f>F150</f>
        <v>33</v>
      </c>
      <c r="N95" s="1">
        <f>D150</f>
        <v>1</v>
      </c>
      <c r="O95" s="1" t="s">
        <v>25</v>
      </c>
    </row>
    <row r="96" spans="2:15" x14ac:dyDescent="0.2">
      <c r="C96" s="1"/>
      <c r="D96" s="1">
        <f>'کابینت هوایی'!L83</f>
        <v>1</v>
      </c>
      <c r="E96" s="1">
        <f>'کابینت هوایی'!K82</f>
        <v>0</v>
      </c>
      <c r="F96" s="1">
        <f>'کابینت هوایی'!K80</f>
        <v>7</v>
      </c>
      <c r="G96" s="1">
        <f>'کابینت هوایی'!L82</f>
        <v>0</v>
      </c>
      <c r="H96" s="1">
        <f>'کابینت هوایی'!L80</f>
        <v>80.8</v>
      </c>
      <c r="I96" s="1" t="s">
        <v>4</v>
      </c>
      <c r="L96" s="1">
        <f>H151</f>
        <v>80.8</v>
      </c>
      <c r="M96" s="1">
        <f>F151</f>
        <v>32</v>
      </c>
      <c r="N96" s="1">
        <f>D151</f>
        <v>1</v>
      </c>
      <c r="O96" s="1" t="s">
        <v>25</v>
      </c>
    </row>
    <row r="97" spans="2:15" x14ac:dyDescent="0.2">
      <c r="L97" s="1">
        <f>H152</f>
        <v>80.8</v>
      </c>
      <c r="M97" s="1">
        <f>F152</f>
        <v>7</v>
      </c>
      <c r="N97" s="1">
        <f>D152</f>
        <v>1</v>
      </c>
      <c r="O97" s="1" t="s">
        <v>25</v>
      </c>
    </row>
    <row r="98" spans="2:15" ht="15.75" thickBot="1" x14ac:dyDescent="0.25">
      <c r="I98" s="37" t="s">
        <v>8</v>
      </c>
      <c r="L98" s="1">
        <f>H156</f>
        <v>90</v>
      </c>
      <c r="M98" s="1">
        <f>F156</f>
        <v>35</v>
      </c>
      <c r="N98" s="1">
        <f>D156</f>
        <v>2</v>
      </c>
      <c r="O98" s="1" t="s">
        <v>25</v>
      </c>
    </row>
    <row r="99" spans="2:15" ht="16.5" thickTop="1" thickBot="1" x14ac:dyDescent="0.25">
      <c r="B99" s="5">
        <v>13</v>
      </c>
      <c r="C99" s="3" t="s">
        <v>12</v>
      </c>
      <c r="D99" s="3" t="s">
        <v>5</v>
      </c>
      <c r="E99" s="3" t="s">
        <v>10</v>
      </c>
      <c r="F99" s="3" t="s">
        <v>11</v>
      </c>
      <c r="G99" s="3" t="s">
        <v>10</v>
      </c>
      <c r="H99" s="3" t="s">
        <v>9</v>
      </c>
      <c r="I99" s="36">
        <f>'کابینت هوایی'!B87</f>
        <v>84</v>
      </c>
      <c r="L99" s="1">
        <f>H157</f>
        <v>31.8</v>
      </c>
      <c r="M99" s="1">
        <f>F157</f>
        <v>35</v>
      </c>
      <c r="N99" s="1">
        <f>D157</f>
        <v>1</v>
      </c>
      <c r="O99" s="1" t="s">
        <v>25</v>
      </c>
    </row>
    <row r="100" spans="2:15" ht="15.75" thickTop="1" x14ac:dyDescent="0.2">
      <c r="C100" s="1"/>
      <c r="D100" s="1">
        <f>'کابینت هوایی'!D90</f>
        <v>2</v>
      </c>
      <c r="E100" s="1">
        <f>'کابینت هوایی'!C89</f>
        <v>1</v>
      </c>
      <c r="F100" s="1">
        <f>'کابینت هوایی'!C87</f>
        <v>35</v>
      </c>
      <c r="G100" s="1">
        <f>'کابینت هوایی'!D89</f>
        <v>1</v>
      </c>
      <c r="H100" s="1">
        <f>'کابینت هوایی'!D87</f>
        <v>90</v>
      </c>
      <c r="I100" s="1" t="s">
        <v>2</v>
      </c>
      <c r="L100" s="1">
        <f>H158</f>
        <v>31.8</v>
      </c>
      <c r="M100" s="1">
        <f>F158</f>
        <v>33</v>
      </c>
      <c r="N100" s="1">
        <f>D158</f>
        <v>1</v>
      </c>
      <c r="O100" s="1" t="s">
        <v>25</v>
      </c>
    </row>
    <row r="101" spans="2:15" x14ac:dyDescent="0.2">
      <c r="C101" s="1"/>
      <c r="D101" s="1">
        <f>'کابینت هوایی'!F90</f>
        <v>1</v>
      </c>
      <c r="E101" s="1">
        <f>'کابینت هوایی'!E89</f>
        <v>0</v>
      </c>
      <c r="F101" s="1">
        <f>'کابینت هوایی'!E87</f>
        <v>35</v>
      </c>
      <c r="G101" s="1">
        <f>'کابینت هوایی'!F89</f>
        <v>1</v>
      </c>
      <c r="H101" s="1">
        <f>'کابینت هوایی'!F87</f>
        <v>80.8</v>
      </c>
      <c r="I101" s="1" t="s">
        <v>1</v>
      </c>
      <c r="L101" s="1">
        <f>H159</f>
        <v>31.8</v>
      </c>
      <c r="M101" s="1">
        <f>F159</f>
        <v>32</v>
      </c>
      <c r="N101" s="1">
        <f>D159</f>
        <v>1</v>
      </c>
      <c r="O101" s="1" t="s">
        <v>25</v>
      </c>
    </row>
    <row r="102" spans="2:15" x14ac:dyDescent="0.2">
      <c r="C102" s="1"/>
      <c r="D102" s="1">
        <f>'کابینت هوایی'!H90</f>
        <v>1</v>
      </c>
      <c r="E102" s="1">
        <f>'کابینت هوایی'!G89</f>
        <v>0</v>
      </c>
      <c r="F102" s="1">
        <f>'کابینت هوایی'!G87</f>
        <v>33</v>
      </c>
      <c r="G102" s="1">
        <f>'کابینت هوایی'!H89</f>
        <v>1</v>
      </c>
      <c r="H102" s="1">
        <f>'کابینت هوایی'!H87</f>
        <v>80.8</v>
      </c>
      <c r="I102" s="1" t="s">
        <v>28</v>
      </c>
      <c r="L102" s="1">
        <f>H160</f>
        <v>31.8</v>
      </c>
      <c r="M102" s="1">
        <f>F160</f>
        <v>7</v>
      </c>
      <c r="N102" s="1">
        <f>D160</f>
        <v>1</v>
      </c>
      <c r="O102" s="1" t="s">
        <v>25</v>
      </c>
    </row>
    <row r="103" spans="2:15" x14ac:dyDescent="0.2">
      <c r="C103" s="1"/>
      <c r="D103" s="1">
        <f>'کابینت هوایی'!J90</f>
        <v>1</v>
      </c>
      <c r="E103" s="1">
        <f>'کابینت هوایی'!I89</f>
        <v>0</v>
      </c>
      <c r="F103" s="1">
        <f>'کابینت هوایی'!I87</f>
        <v>32</v>
      </c>
      <c r="G103" s="1">
        <f>'کابینت هوایی'!J89</f>
        <v>1</v>
      </c>
      <c r="H103" s="1">
        <f>'کابینت هوایی'!J87</f>
        <v>80.8</v>
      </c>
      <c r="I103" s="1" t="s">
        <v>3</v>
      </c>
    </row>
    <row r="104" spans="2:15" x14ac:dyDescent="0.2">
      <c r="C104" s="1"/>
      <c r="D104" s="1">
        <f>'کابینت هوایی'!L90</f>
        <v>1</v>
      </c>
      <c r="E104" s="1">
        <f>'کابینت هوایی'!K89</f>
        <v>0</v>
      </c>
      <c r="F104" s="1">
        <f>'کابینت هوایی'!K87</f>
        <v>7</v>
      </c>
      <c r="G104" s="1">
        <f>'کابینت هوایی'!L89</f>
        <v>0</v>
      </c>
      <c r="H104" s="1">
        <f>'کابینت هوایی'!L87</f>
        <v>80.8</v>
      </c>
      <c r="I104" s="1" t="s">
        <v>4</v>
      </c>
    </row>
    <row r="106" spans="2:15" ht="15.75" thickBot="1" x14ac:dyDescent="0.25">
      <c r="I106" s="37" t="s">
        <v>8</v>
      </c>
    </row>
    <row r="107" spans="2:15" ht="16.5" thickTop="1" thickBot="1" x14ac:dyDescent="0.25">
      <c r="B107" s="5">
        <v>14</v>
      </c>
      <c r="C107" s="3" t="s">
        <v>12</v>
      </c>
      <c r="D107" s="3" t="s">
        <v>5</v>
      </c>
      <c r="E107" s="3" t="s">
        <v>10</v>
      </c>
      <c r="F107" s="3" t="s">
        <v>11</v>
      </c>
      <c r="G107" s="3" t="s">
        <v>10</v>
      </c>
      <c r="H107" s="3" t="s">
        <v>9</v>
      </c>
      <c r="I107" s="36">
        <f>'کابینت هوایی'!B94</f>
        <v>84</v>
      </c>
    </row>
    <row r="108" spans="2:15" ht="15.75" thickTop="1" x14ac:dyDescent="0.2">
      <c r="C108" s="1"/>
      <c r="D108" s="1">
        <f>'کابینت هوایی'!D97</f>
        <v>2</v>
      </c>
      <c r="E108" s="1">
        <f>'کابینت هوایی'!C96</f>
        <v>1</v>
      </c>
      <c r="F108" s="1">
        <f>'کابینت هوایی'!C94</f>
        <v>35</v>
      </c>
      <c r="G108" s="1">
        <f>'کابینت هوایی'!D96</f>
        <v>1</v>
      </c>
      <c r="H108" s="1">
        <f>'کابینت هوایی'!D94</f>
        <v>90</v>
      </c>
      <c r="I108" s="1" t="s">
        <v>2</v>
      </c>
    </row>
    <row r="109" spans="2:15" x14ac:dyDescent="0.2">
      <c r="C109" s="1"/>
      <c r="D109" s="1">
        <f>'کابینت هوایی'!F97</f>
        <v>1</v>
      </c>
      <c r="E109" s="1">
        <f>'کابینت هوایی'!E96</f>
        <v>0</v>
      </c>
      <c r="F109" s="1">
        <f>'کابینت هوایی'!E94</f>
        <v>35</v>
      </c>
      <c r="G109" s="1">
        <f>'کابینت هوایی'!F96</f>
        <v>1</v>
      </c>
      <c r="H109" s="1">
        <f>'کابینت هوایی'!F94</f>
        <v>80.8</v>
      </c>
      <c r="I109" s="1" t="s">
        <v>1</v>
      </c>
    </row>
    <row r="110" spans="2:15" x14ac:dyDescent="0.2">
      <c r="C110" s="1"/>
      <c r="D110" s="1">
        <f>'کابینت هوایی'!H97</f>
        <v>1</v>
      </c>
      <c r="E110" s="1">
        <f>'کابینت هوایی'!G96</f>
        <v>0</v>
      </c>
      <c r="F110" s="1">
        <f>'کابینت هوایی'!G94</f>
        <v>33</v>
      </c>
      <c r="G110" s="1">
        <f>'کابینت هوایی'!H96</f>
        <v>1</v>
      </c>
      <c r="H110" s="1">
        <f>'کابینت هوایی'!H94</f>
        <v>80.8</v>
      </c>
      <c r="I110" s="1" t="s">
        <v>28</v>
      </c>
    </row>
    <row r="111" spans="2:15" x14ac:dyDescent="0.2">
      <c r="C111" s="1"/>
      <c r="D111" s="1">
        <f>'کابینت هوایی'!J97</f>
        <v>1</v>
      </c>
      <c r="E111" s="1">
        <f>'کابینت هوایی'!I96</f>
        <v>0</v>
      </c>
      <c r="F111" s="1">
        <f>'کابینت هوایی'!I94</f>
        <v>32</v>
      </c>
      <c r="G111" s="1">
        <f>'کابینت هوایی'!J96</f>
        <v>1</v>
      </c>
      <c r="H111" s="1">
        <f>'کابینت هوایی'!J94</f>
        <v>80.8</v>
      </c>
      <c r="I111" s="1" t="s">
        <v>3</v>
      </c>
    </row>
    <row r="112" spans="2:15" x14ac:dyDescent="0.2">
      <c r="C112" s="1"/>
      <c r="D112" s="1">
        <f>'کابینت هوایی'!L97</f>
        <v>1</v>
      </c>
      <c r="E112" s="1">
        <f>'کابینت هوایی'!K96</f>
        <v>0</v>
      </c>
      <c r="F112" s="1">
        <f>'کابینت هوایی'!K94</f>
        <v>7</v>
      </c>
      <c r="G112" s="1">
        <f>'کابینت هوایی'!L96</f>
        <v>0</v>
      </c>
      <c r="H112" s="1">
        <f>'کابینت هوایی'!L94</f>
        <v>80.8</v>
      </c>
      <c r="I112" s="1" t="s">
        <v>4</v>
      </c>
    </row>
    <row r="114" spans="2:9" ht="15.75" thickBot="1" x14ac:dyDescent="0.25">
      <c r="I114" s="37" t="s">
        <v>8</v>
      </c>
    </row>
    <row r="115" spans="2:9" ht="16.5" thickTop="1" thickBot="1" x14ac:dyDescent="0.25">
      <c r="B115" s="5">
        <v>15</v>
      </c>
      <c r="C115" s="3" t="s">
        <v>12</v>
      </c>
      <c r="D115" s="3" t="s">
        <v>5</v>
      </c>
      <c r="E115" s="3" t="s">
        <v>10</v>
      </c>
      <c r="F115" s="3" t="s">
        <v>11</v>
      </c>
      <c r="G115" s="3" t="s">
        <v>10</v>
      </c>
      <c r="H115" s="3" t="s">
        <v>9</v>
      </c>
      <c r="I115" s="36">
        <f>'کابینت هوایی'!B101</f>
        <v>84</v>
      </c>
    </row>
    <row r="116" spans="2:9" ht="15.75" thickTop="1" x14ac:dyDescent="0.2">
      <c r="C116" s="1"/>
      <c r="D116" s="1">
        <f>'کابینت هوایی'!D104</f>
        <v>2</v>
      </c>
      <c r="E116" s="1">
        <f>'کابینت هوایی'!C103</f>
        <v>1</v>
      </c>
      <c r="F116" s="1">
        <f>'کابینت هوایی'!C101</f>
        <v>35</v>
      </c>
      <c r="G116" s="1">
        <f>'کابینت هوایی'!D103</f>
        <v>1</v>
      </c>
      <c r="H116" s="1">
        <f>'کابینت هوایی'!D101</f>
        <v>90</v>
      </c>
      <c r="I116" s="1" t="s">
        <v>2</v>
      </c>
    </row>
    <row r="117" spans="2:9" x14ac:dyDescent="0.2">
      <c r="C117" s="1"/>
      <c r="D117" s="1">
        <f>'کابینت هوایی'!F104</f>
        <v>1</v>
      </c>
      <c r="E117" s="1">
        <f>'کابینت هوایی'!E103</f>
        <v>0</v>
      </c>
      <c r="F117" s="1">
        <f>'کابینت هوایی'!E101</f>
        <v>35</v>
      </c>
      <c r="G117" s="1">
        <f>'کابینت هوایی'!F103</f>
        <v>1</v>
      </c>
      <c r="H117" s="1">
        <f>'کابینت هوایی'!F101</f>
        <v>80.8</v>
      </c>
      <c r="I117" s="1" t="s">
        <v>1</v>
      </c>
    </row>
    <row r="118" spans="2:9" x14ac:dyDescent="0.2">
      <c r="C118" s="1"/>
      <c r="D118" s="1">
        <f>'کابینت هوایی'!H104</f>
        <v>1</v>
      </c>
      <c r="E118" s="1">
        <f>'کابینت هوایی'!G103</f>
        <v>0</v>
      </c>
      <c r="F118" s="1">
        <f>'کابینت هوایی'!G101</f>
        <v>33</v>
      </c>
      <c r="G118" s="1">
        <f>'کابینت هوایی'!H103</f>
        <v>1</v>
      </c>
      <c r="H118" s="1">
        <f>'کابینت هوایی'!H101</f>
        <v>80.8</v>
      </c>
      <c r="I118" s="1" t="s">
        <v>28</v>
      </c>
    </row>
    <row r="119" spans="2:9" x14ac:dyDescent="0.2">
      <c r="C119" s="1"/>
      <c r="D119" s="1">
        <f>'کابینت هوایی'!J104</f>
        <v>1</v>
      </c>
      <c r="E119" s="1">
        <f>'کابینت هوایی'!I103</f>
        <v>0</v>
      </c>
      <c r="F119" s="1">
        <f>'کابینت هوایی'!I101</f>
        <v>32</v>
      </c>
      <c r="G119" s="1">
        <f>'کابینت هوایی'!J103</f>
        <v>1</v>
      </c>
      <c r="H119" s="1">
        <f>'کابینت هوایی'!J101</f>
        <v>80.8</v>
      </c>
      <c r="I119" s="1" t="s">
        <v>3</v>
      </c>
    </row>
    <row r="120" spans="2:9" x14ac:dyDescent="0.2">
      <c r="C120" s="1"/>
      <c r="D120" s="1">
        <f>'کابینت هوایی'!L104</f>
        <v>1</v>
      </c>
      <c r="E120" s="1">
        <f>'کابینت هوایی'!K103</f>
        <v>0</v>
      </c>
      <c r="F120" s="1">
        <f>'کابینت هوایی'!K101</f>
        <v>7</v>
      </c>
      <c r="G120" s="1">
        <f>'کابینت هوایی'!L103</f>
        <v>0</v>
      </c>
      <c r="H120" s="1">
        <f>'کابینت هوایی'!L101</f>
        <v>80.8</v>
      </c>
      <c r="I120" s="1" t="s">
        <v>4</v>
      </c>
    </row>
    <row r="122" spans="2:9" ht="15.75" thickBot="1" x14ac:dyDescent="0.25">
      <c r="I122" s="37" t="s">
        <v>8</v>
      </c>
    </row>
    <row r="123" spans="2:9" ht="16.5" thickTop="1" thickBot="1" x14ac:dyDescent="0.25">
      <c r="B123" s="5">
        <v>16</v>
      </c>
      <c r="C123" s="3" t="s">
        <v>12</v>
      </c>
      <c r="D123" s="3" t="s">
        <v>5</v>
      </c>
      <c r="E123" s="3" t="s">
        <v>10</v>
      </c>
      <c r="F123" s="3" t="s">
        <v>11</v>
      </c>
      <c r="G123" s="3" t="s">
        <v>10</v>
      </c>
      <c r="H123" s="3" t="s">
        <v>9</v>
      </c>
      <c r="I123" s="36">
        <f>'کابینت هوایی'!B108</f>
        <v>84</v>
      </c>
    </row>
    <row r="124" spans="2:9" ht="15.75" thickTop="1" x14ac:dyDescent="0.2">
      <c r="C124" s="1"/>
      <c r="D124" s="1">
        <f>'کابینت هوایی'!D111</f>
        <v>2</v>
      </c>
      <c r="E124" s="1">
        <f>'کابینت هوایی'!C110</f>
        <v>1</v>
      </c>
      <c r="F124" s="1">
        <f>'کابینت هوایی'!C108</f>
        <v>35</v>
      </c>
      <c r="G124" s="1">
        <f>'کابینت هوایی'!D110</f>
        <v>1</v>
      </c>
      <c r="H124" s="1">
        <f>'کابینت هوایی'!D108</f>
        <v>90</v>
      </c>
      <c r="I124" s="1" t="s">
        <v>2</v>
      </c>
    </row>
    <row r="125" spans="2:9" x14ac:dyDescent="0.2">
      <c r="C125" s="1"/>
      <c r="D125" s="1">
        <f>'کابینت هوایی'!F111</f>
        <v>1</v>
      </c>
      <c r="E125" s="1">
        <f>'کابینت هوایی'!E110</f>
        <v>0</v>
      </c>
      <c r="F125" s="1">
        <f>'کابینت هوایی'!E108</f>
        <v>35</v>
      </c>
      <c r="G125" s="1">
        <f>'کابینت هوایی'!F110</f>
        <v>1</v>
      </c>
      <c r="H125" s="1">
        <f>'کابینت هوایی'!F108</f>
        <v>80.8</v>
      </c>
      <c r="I125" s="1" t="s">
        <v>1</v>
      </c>
    </row>
    <row r="126" spans="2:9" x14ac:dyDescent="0.2">
      <c r="C126" s="1"/>
      <c r="D126" s="1">
        <f>'کابینت هوایی'!H111</f>
        <v>1</v>
      </c>
      <c r="E126" s="1">
        <f>'کابینت هوایی'!G110</f>
        <v>0</v>
      </c>
      <c r="F126" s="1">
        <f>'کابینت هوایی'!G108</f>
        <v>33</v>
      </c>
      <c r="G126" s="1">
        <f>'کابینت هوایی'!H110</f>
        <v>1</v>
      </c>
      <c r="H126" s="1">
        <f>'کابینت هوایی'!H108</f>
        <v>80.8</v>
      </c>
      <c r="I126" s="1" t="s">
        <v>28</v>
      </c>
    </row>
    <row r="127" spans="2:9" x14ac:dyDescent="0.2">
      <c r="C127" s="1"/>
      <c r="D127" s="1">
        <f>'کابینت هوایی'!J111</f>
        <v>1</v>
      </c>
      <c r="E127" s="1">
        <f>'کابینت هوایی'!I110</f>
        <v>0</v>
      </c>
      <c r="F127" s="1">
        <f>'کابینت هوایی'!I108</f>
        <v>32</v>
      </c>
      <c r="G127" s="1">
        <f>'کابینت هوایی'!J110</f>
        <v>1</v>
      </c>
      <c r="H127" s="1">
        <f>'کابینت هوایی'!J108</f>
        <v>80.8</v>
      </c>
      <c r="I127" s="1" t="s">
        <v>3</v>
      </c>
    </row>
    <row r="128" spans="2:9" x14ac:dyDescent="0.2">
      <c r="C128" s="1"/>
      <c r="D128" s="1">
        <f>'کابینت هوایی'!L111</f>
        <v>1</v>
      </c>
      <c r="E128" s="1">
        <f>'کابینت هوایی'!K110</f>
        <v>0</v>
      </c>
      <c r="F128" s="1">
        <f>'کابینت هوایی'!K108</f>
        <v>7</v>
      </c>
      <c r="G128" s="1">
        <f>'کابینت هوایی'!L110</f>
        <v>0</v>
      </c>
      <c r="H128" s="1">
        <f>'کابینت هوایی'!L108</f>
        <v>80.8</v>
      </c>
      <c r="I128" s="1" t="s">
        <v>4</v>
      </c>
    </row>
    <row r="130" spans="2:9" ht="15.75" thickBot="1" x14ac:dyDescent="0.25">
      <c r="I130" s="37" t="s">
        <v>8</v>
      </c>
    </row>
    <row r="131" spans="2:9" ht="16.5" thickTop="1" thickBot="1" x14ac:dyDescent="0.25">
      <c r="B131" s="5">
        <v>17</v>
      </c>
      <c r="C131" s="3" t="s">
        <v>12</v>
      </c>
      <c r="D131" s="3" t="s">
        <v>5</v>
      </c>
      <c r="E131" s="3" t="s">
        <v>10</v>
      </c>
      <c r="F131" s="3" t="s">
        <v>11</v>
      </c>
      <c r="G131" s="3" t="s">
        <v>10</v>
      </c>
      <c r="H131" s="3" t="s">
        <v>9</v>
      </c>
      <c r="I131" s="36">
        <f>'کابینت هوایی'!B115</f>
        <v>84</v>
      </c>
    </row>
    <row r="132" spans="2:9" ht="15.75" thickTop="1" x14ac:dyDescent="0.2">
      <c r="C132" s="1"/>
      <c r="D132" s="1">
        <f>'کابینت هوایی'!D118</f>
        <v>2</v>
      </c>
      <c r="E132" s="1">
        <f>'کابینت هوایی'!C117</f>
        <v>1</v>
      </c>
      <c r="F132" s="1">
        <f>'کابینت هوایی'!C115</f>
        <v>35</v>
      </c>
      <c r="G132" s="1">
        <f>'کابینت هوایی'!D117</f>
        <v>1</v>
      </c>
      <c r="H132" s="1">
        <f>'کابینت هوایی'!D115</f>
        <v>90</v>
      </c>
      <c r="I132" s="1" t="s">
        <v>2</v>
      </c>
    </row>
    <row r="133" spans="2:9" x14ac:dyDescent="0.2">
      <c r="C133" s="1"/>
      <c r="D133" s="1">
        <f>'کابینت هوایی'!F118</f>
        <v>1</v>
      </c>
      <c r="E133" s="1">
        <f>'کابینت هوایی'!E117</f>
        <v>0</v>
      </c>
      <c r="F133" s="1">
        <f>'کابینت هوایی'!E115</f>
        <v>35</v>
      </c>
      <c r="G133" s="1">
        <f>'کابینت هوایی'!F117</f>
        <v>1</v>
      </c>
      <c r="H133" s="1">
        <f>'کابینت هوایی'!F115</f>
        <v>80.8</v>
      </c>
      <c r="I133" s="1" t="s">
        <v>1</v>
      </c>
    </row>
    <row r="134" spans="2:9" x14ac:dyDescent="0.2">
      <c r="C134" s="1"/>
      <c r="D134" s="1">
        <f>'کابینت هوایی'!H118</f>
        <v>1</v>
      </c>
      <c r="E134" s="1">
        <f>'کابینت هوایی'!G117</f>
        <v>0</v>
      </c>
      <c r="F134" s="1">
        <f>'کابینت هوایی'!G115</f>
        <v>33</v>
      </c>
      <c r="G134" s="1">
        <f>'کابینت هوایی'!H117</f>
        <v>1</v>
      </c>
      <c r="H134" s="1">
        <f>'کابینت هوایی'!H115</f>
        <v>80.8</v>
      </c>
      <c r="I134" s="1" t="s">
        <v>28</v>
      </c>
    </row>
    <row r="135" spans="2:9" x14ac:dyDescent="0.2">
      <c r="C135" s="1"/>
      <c r="D135" s="1">
        <f>'کابینت هوایی'!J118</f>
        <v>1</v>
      </c>
      <c r="E135" s="1">
        <f>'کابینت هوایی'!I117</f>
        <v>0</v>
      </c>
      <c r="F135" s="1">
        <f>'کابینت هوایی'!I115</f>
        <v>32</v>
      </c>
      <c r="G135" s="1">
        <f>'کابینت هوایی'!J117</f>
        <v>1</v>
      </c>
      <c r="H135" s="1">
        <f>'کابینت هوایی'!J115</f>
        <v>80.8</v>
      </c>
      <c r="I135" s="1" t="s">
        <v>3</v>
      </c>
    </row>
    <row r="136" spans="2:9" x14ac:dyDescent="0.2">
      <c r="C136" s="1"/>
      <c r="D136" s="1">
        <f>'کابینت هوایی'!L118</f>
        <v>1</v>
      </c>
      <c r="E136" s="1">
        <f>'کابینت هوایی'!K117</f>
        <v>0</v>
      </c>
      <c r="F136" s="1">
        <f>'کابینت هوایی'!K115</f>
        <v>7</v>
      </c>
      <c r="G136" s="1">
        <f>'کابینت هوایی'!L117</f>
        <v>0</v>
      </c>
      <c r="H136" s="1">
        <f>'کابینت هوایی'!L115</f>
        <v>80.8</v>
      </c>
      <c r="I136" s="1" t="s">
        <v>4</v>
      </c>
    </row>
    <row r="138" spans="2:9" ht="15.75" thickBot="1" x14ac:dyDescent="0.25">
      <c r="I138" s="37" t="s">
        <v>8</v>
      </c>
    </row>
    <row r="139" spans="2:9" ht="16.5" thickTop="1" thickBot="1" x14ac:dyDescent="0.25">
      <c r="B139" s="5">
        <v>18</v>
      </c>
      <c r="C139" s="3" t="s">
        <v>12</v>
      </c>
      <c r="D139" s="3" t="s">
        <v>5</v>
      </c>
      <c r="E139" s="3" t="s">
        <v>10</v>
      </c>
      <c r="F139" s="3" t="s">
        <v>11</v>
      </c>
      <c r="G139" s="3" t="s">
        <v>10</v>
      </c>
      <c r="H139" s="3" t="s">
        <v>9</v>
      </c>
      <c r="I139" s="36">
        <f>'کابینت هوایی'!B122</f>
        <v>84</v>
      </c>
    </row>
    <row r="140" spans="2:9" ht="15.75" thickTop="1" x14ac:dyDescent="0.2">
      <c r="C140" s="1"/>
      <c r="D140" s="1">
        <f>'کابینت هوایی'!D125</f>
        <v>2</v>
      </c>
      <c r="E140" s="1">
        <f>'کابینت هوایی'!C124</f>
        <v>1</v>
      </c>
      <c r="F140" s="1">
        <f>'کابینت هوایی'!C122</f>
        <v>35</v>
      </c>
      <c r="G140" s="1">
        <f>'کابینت هوایی'!D124</f>
        <v>1</v>
      </c>
      <c r="H140" s="1">
        <f>'کابینت هوایی'!D122</f>
        <v>90</v>
      </c>
      <c r="I140" s="1" t="s">
        <v>2</v>
      </c>
    </row>
    <row r="141" spans="2:9" x14ac:dyDescent="0.2">
      <c r="C141" s="1"/>
      <c r="D141" s="1">
        <f>'کابینت هوایی'!F125</f>
        <v>1</v>
      </c>
      <c r="E141" s="1">
        <f>'کابینت هوایی'!E124</f>
        <v>0</v>
      </c>
      <c r="F141" s="1">
        <f>'کابینت هوایی'!E122</f>
        <v>35</v>
      </c>
      <c r="G141" s="1">
        <f>'کابینت هوایی'!F124</f>
        <v>1</v>
      </c>
      <c r="H141" s="1">
        <f>'کابینت هوایی'!F122</f>
        <v>80.8</v>
      </c>
      <c r="I141" s="1" t="s">
        <v>1</v>
      </c>
    </row>
    <row r="142" spans="2:9" x14ac:dyDescent="0.2">
      <c r="C142" s="1"/>
      <c r="D142" s="1">
        <f>'کابینت هوایی'!H125</f>
        <v>1</v>
      </c>
      <c r="E142" s="1">
        <f>'کابینت هوایی'!G124</f>
        <v>0</v>
      </c>
      <c r="F142" s="1">
        <f>'کابینت هوایی'!G122</f>
        <v>33</v>
      </c>
      <c r="G142" s="1">
        <f>'کابینت هوایی'!H124</f>
        <v>1</v>
      </c>
      <c r="H142" s="1">
        <f>'کابینت هوایی'!H122</f>
        <v>80.8</v>
      </c>
      <c r="I142" s="1" t="s">
        <v>28</v>
      </c>
    </row>
    <row r="143" spans="2:9" x14ac:dyDescent="0.2">
      <c r="C143" s="1"/>
      <c r="D143" s="1">
        <f>'کابینت هوایی'!J125</f>
        <v>1</v>
      </c>
      <c r="E143" s="1">
        <f>'کابینت هوایی'!I124</f>
        <v>0</v>
      </c>
      <c r="F143" s="1">
        <f>'کابینت هوایی'!I122</f>
        <v>32</v>
      </c>
      <c r="G143" s="1">
        <f>'کابینت هوایی'!J124</f>
        <v>1</v>
      </c>
      <c r="H143" s="1">
        <f>'کابینت هوایی'!J122</f>
        <v>80.8</v>
      </c>
      <c r="I143" s="1" t="s">
        <v>3</v>
      </c>
    </row>
    <row r="144" spans="2:9" x14ac:dyDescent="0.2">
      <c r="C144" s="1"/>
      <c r="D144" s="1">
        <f>'کابینت هوایی'!L125</f>
        <v>1</v>
      </c>
      <c r="E144" s="1">
        <f>'کابینت هوایی'!K124</f>
        <v>0</v>
      </c>
      <c r="F144" s="1">
        <f>'کابینت هوایی'!K122</f>
        <v>7</v>
      </c>
      <c r="G144" s="1">
        <f>'کابینت هوایی'!L124</f>
        <v>0</v>
      </c>
      <c r="H144" s="1">
        <f>'کابینت هوایی'!L122</f>
        <v>80.8</v>
      </c>
      <c r="I144" s="1" t="s">
        <v>4</v>
      </c>
    </row>
    <row r="146" spans="2:9" ht="15.75" thickBot="1" x14ac:dyDescent="0.25">
      <c r="I146" s="37" t="s">
        <v>8</v>
      </c>
    </row>
    <row r="147" spans="2:9" ht="16.5" thickTop="1" thickBot="1" x14ac:dyDescent="0.25">
      <c r="B147" s="5">
        <v>19</v>
      </c>
      <c r="C147" s="3" t="s">
        <v>12</v>
      </c>
      <c r="D147" s="3" t="s">
        <v>5</v>
      </c>
      <c r="E147" s="3" t="s">
        <v>10</v>
      </c>
      <c r="F147" s="3" t="s">
        <v>11</v>
      </c>
      <c r="G147" s="3" t="s">
        <v>10</v>
      </c>
      <c r="H147" s="3" t="s">
        <v>9</v>
      </c>
      <c r="I147" s="36">
        <f>'کابینت هوایی'!B129</f>
        <v>84</v>
      </c>
    </row>
    <row r="148" spans="2:9" ht="15.75" thickTop="1" x14ac:dyDescent="0.2">
      <c r="C148" s="1"/>
      <c r="D148" s="1">
        <f>'کابینت هوایی'!D132</f>
        <v>2</v>
      </c>
      <c r="E148" s="1">
        <f>'کابینت هوایی'!C131</f>
        <v>1</v>
      </c>
      <c r="F148" s="1">
        <f>'کابینت هوایی'!C129</f>
        <v>35</v>
      </c>
      <c r="G148" s="1">
        <f>'کابینت هوایی'!D131</f>
        <v>1</v>
      </c>
      <c r="H148" s="1">
        <f>'کابینت هوایی'!D129</f>
        <v>90</v>
      </c>
      <c r="I148" s="1" t="s">
        <v>2</v>
      </c>
    </row>
    <row r="149" spans="2:9" x14ac:dyDescent="0.2">
      <c r="C149" s="1"/>
      <c r="D149" s="1">
        <f>'کابینت هوایی'!F132</f>
        <v>1</v>
      </c>
      <c r="E149" s="1">
        <f>'کابینت هوایی'!E131</f>
        <v>0</v>
      </c>
      <c r="F149" s="1">
        <f>'کابینت هوایی'!E129</f>
        <v>35</v>
      </c>
      <c r="G149" s="1">
        <f>'کابینت هوایی'!F131</f>
        <v>1</v>
      </c>
      <c r="H149" s="1">
        <f>'کابینت هوایی'!F129</f>
        <v>80.8</v>
      </c>
      <c r="I149" s="1" t="s">
        <v>1</v>
      </c>
    </row>
    <row r="150" spans="2:9" x14ac:dyDescent="0.2">
      <c r="C150" s="1"/>
      <c r="D150" s="1">
        <f>'کابینت هوایی'!H132</f>
        <v>1</v>
      </c>
      <c r="E150" s="1">
        <f>'کابینت هوایی'!G131</f>
        <v>0</v>
      </c>
      <c r="F150" s="1">
        <f>'کابینت هوایی'!G129</f>
        <v>33</v>
      </c>
      <c r="G150" s="1">
        <f>'کابینت هوایی'!H131</f>
        <v>1</v>
      </c>
      <c r="H150" s="1">
        <f>'کابینت هوایی'!H129</f>
        <v>80.8</v>
      </c>
      <c r="I150" s="1" t="s">
        <v>28</v>
      </c>
    </row>
    <row r="151" spans="2:9" x14ac:dyDescent="0.2">
      <c r="C151" s="1"/>
      <c r="D151" s="1">
        <f>'کابینت هوایی'!J132</f>
        <v>1</v>
      </c>
      <c r="E151" s="1">
        <f>'کابینت هوایی'!I131</f>
        <v>0</v>
      </c>
      <c r="F151" s="1">
        <f>'کابینت هوایی'!I129</f>
        <v>32</v>
      </c>
      <c r="G151" s="1">
        <f>'کابینت هوایی'!J131</f>
        <v>1</v>
      </c>
      <c r="H151" s="1">
        <f>'کابینت هوایی'!J129</f>
        <v>80.8</v>
      </c>
      <c r="I151" s="1" t="s">
        <v>3</v>
      </c>
    </row>
    <row r="152" spans="2:9" x14ac:dyDescent="0.2">
      <c r="C152" s="1"/>
      <c r="D152" s="1">
        <f>'کابینت هوایی'!L132</f>
        <v>1</v>
      </c>
      <c r="E152" s="1">
        <f>'کابینت هوایی'!K131</f>
        <v>0</v>
      </c>
      <c r="F152" s="1">
        <f>'کابینت هوایی'!K129</f>
        <v>7</v>
      </c>
      <c r="G152" s="1">
        <f>'کابینت هوایی'!L131</f>
        <v>0</v>
      </c>
      <c r="H152" s="1">
        <f>'کابینت هوایی'!L129</f>
        <v>80.8</v>
      </c>
      <c r="I152" s="1" t="s">
        <v>4</v>
      </c>
    </row>
    <row r="154" spans="2:9" ht="15.75" thickBot="1" x14ac:dyDescent="0.25">
      <c r="I154" s="37" t="s">
        <v>8</v>
      </c>
    </row>
    <row r="155" spans="2:9" ht="16.5" thickTop="1" thickBot="1" x14ac:dyDescent="0.25">
      <c r="B155" s="5">
        <v>20</v>
      </c>
      <c r="C155" s="3" t="s">
        <v>12</v>
      </c>
      <c r="D155" s="3" t="s">
        <v>5</v>
      </c>
      <c r="E155" s="3" t="s">
        <v>10</v>
      </c>
      <c r="F155" s="3" t="s">
        <v>11</v>
      </c>
      <c r="G155" s="3" t="s">
        <v>10</v>
      </c>
      <c r="H155" s="3" t="s">
        <v>9</v>
      </c>
      <c r="I155" s="36">
        <f>'کابینت هوایی'!B136</f>
        <v>35</v>
      </c>
    </row>
    <row r="156" spans="2:9" ht="15.75" thickTop="1" x14ac:dyDescent="0.2">
      <c r="C156" s="1"/>
      <c r="D156" s="1">
        <f>'کابینت هوایی'!D139</f>
        <v>2</v>
      </c>
      <c r="E156" s="1">
        <f>'کابینت هوایی'!C138</f>
        <v>1</v>
      </c>
      <c r="F156" s="1">
        <f>'کابینت هوایی'!C136</f>
        <v>35</v>
      </c>
      <c r="G156" s="1">
        <f>'کابینت هوایی'!D138</f>
        <v>1</v>
      </c>
      <c r="H156" s="1">
        <f>'کابینت هوایی'!D136</f>
        <v>90</v>
      </c>
      <c r="I156" s="1" t="s">
        <v>2</v>
      </c>
    </row>
    <row r="157" spans="2:9" x14ac:dyDescent="0.2">
      <c r="C157" s="1"/>
      <c r="D157" s="1">
        <f>'کابینت هوایی'!F139</f>
        <v>1</v>
      </c>
      <c r="E157" s="1">
        <f>'کابینت هوایی'!E138</f>
        <v>0</v>
      </c>
      <c r="F157" s="1">
        <f>'کابینت هوایی'!E136</f>
        <v>35</v>
      </c>
      <c r="G157" s="1">
        <f>'کابینت هوایی'!F138</f>
        <v>1</v>
      </c>
      <c r="H157" s="1">
        <f>'کابینت هوایی'!F136</f>
        <v>31.8</v>
      </c>
      <c r="I157" s="1" t="s">
        <v>1</v>
      </c>
    </row>
    <row r="158" spans="2:9" x14ac:dyDescent="0.2">
      <c r="C158" s="1"/>
      <c r="D158" s="1">
        <f>'کابینت هوایی'!H139</f>
        <v>1</v>
      </c>
      <c r="E158" s="1">
        <f>'کابینت هوایی'!G138</f>
        <v>0</v>
      </c>
      <c r="F158" s="1">
        <f>'کابینت هوایی'!G136</f>
        <v>33</v>
      </c>
      <c r="G158" s="1">
        <f>'کابینت هوایی'!H138</f>
        <v>1</v>
      </c>
      <c r="H158" s="1">
        <f>'کابینت هوایی'!H136</f>
        <v>31.8</v>
      </c>
      <c r="I158" s="1" t="s">
        <v>28</v>
      </c>
    </row>
    <row r="159" spans="2:9" x14ac:dyDescent="0.2">
      <c r="C159" s="1"/>
      <c r="D159" s="1">
        <f>'کابینت هوایی'!J139</f>
        <v>1</v>
      </c>
      <c r="E159" s="1">
        <f>'کابینت هوایی'!I138</f>
        <v>0</v>
      </c>
      <c r="F159" s="1">
        <f>'کابینت هوایی'!I136</f>
        <v>32</v>
      </c>
      <c r="G159" s="1">
        <f>'کابینت هوایی'!J138</f>
        <v>1</v>
      </c>
      <c r="H159" s="1">
        <f>'کابینت هوایی'!J136</f>
        <v>31.8</v>
      </c>
      <c r="I159" s="1" t="s">
        <v>3</v>
      </c>
    </row>
    <row r="160" spans="2:9" x14ac:dyDescent="0.2">
      <c r="C160" s="1"/>
      <c r="D160" s="1">
        <f>'کابینت هوایی'!L139</f>
        <v>1</v>
      </c>
      <c r="E160" s="1">
        <f>'کابینت هوایی'!K138</f>
        <v>0</v>
      </c>
      <c r="F160" s="1">
        <f>'کابینت هوایی'!K136</f>
        <v>7</v>
      </c>
      <c r="G160" s="1">
        <f>'کابینت هوایی'!L138</f>
        <v>0</v>
      </c>
      <c r="H160" s="1">
        <f>'کابینت هوایی'!L136</f>
        <v>31.8</v>
      </c>
      <c r="I160" s="1" t="s">
        <v>4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Button 1">
              <controlPr defaultSize="0" print="0" autoFill="0" autoPict="0" macro="[0]!Button1_Click">
                <anchor moveWithCells="1" sizeWithCells="1">
                  <from>
                    <xdr:col>12</xdr:col>
                    <xdr:colOff>0</xdr:colOff>
                    <xdr:row>0</xdr:row>
                    <xdr:rowOff>47625</xdr:rowOff>
                  </from>
                  <to>
                    <xdr:col>14</xdr:col>
                    <xdr:colOff>9525</xdr:colOff>
                    <xdr:row>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4" name="Button 2">
              <controlPr defaultSize="0" print="0" autoFill="0" autoPict="0" macro="[0]!Button2_Click">
                <anchor moveWithCells="1" sizeWithCells="1">
                  <from>
                    <xdr:col>17</xdr:col>
                    <xdr:colOff>28575</xdr:colOff>
                    <xdr:row>0</xdr:row>
                    <xdr:rowOff>47625</xdr:rowOff>
                  </from>
                  <to>
                    <xdr:col>18</xdr:col>
                    <xdr:colOff>533400</xdr:colOff>
                    <xdr:row>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5" name="Button 3">
              <controlPr defaultSize="0" print="0" autoFill="0" autoPict="0" macro="[0]!Button3_Click">
                <anchor moveWithCells="1" sizeWithCells="1">
                  <from>
                    <xdr:col>17</xdr:col>
                    <xdr:colOff>0</xdr:colOff>
                    <xdr:row>25</xdr:row>
                    <xdr:rowOff>9525</xdr:rowOff>
                  </from>
                  <to>
                    <xdr:col>18</xdr:col>
                    <xdr:colOff>581025</xdr:colOff>
                    <xdr:row>26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L6"/>
  <sheetViews>
    <sheetView rightToLeft="1" zoomScale="145" zoomScaleNormal="145" workbookViewId="0">
      <selection activeCell="I12" sqref="I12"/>
    </sheetView>
  </sheetViews>
  <sheetFormatPr defaultRowHeight="15" x14ac:dyDescent="0.2"/>
  <cols>
    <col min="7" max="7" width="9.14453125" customWidth="1"/>
  </cols>
  <sheetData>
    <row r="3" spans="2:12" x14ac:dyDescent="0.2">
      <c r="B3" s="3" t="s">
        <v>5</v>
      </c>
      <c r="C3" s="3" t="s">
        <v>35</v>
      </c>
      <c r="D3" s="3" t="s">
        <v>11</v>
      </c>
      <c r="E3" s="3" t="s">
        <v>34</v>
      </c>
      <c r="G3" s="42" t="s">
        <v>36</v>
      </c>
      <c r="H3" s="43"/>
      <c r="I3" s="42" t="s">
        <v>37</v>
      </c>
      <c r="J3" s="43"/>
      <c r="K3" s="42" t="s">
        <v>38</v>
      </c>
      <c r="L3" s="43"/>
    </row>
    <row r="4" spans="2:12" x14ac:dyDescent="0.2">
      <c r="B4" s="1">
        <v>1</v>
      </c>
      <c r="C4" s="1">
        <v>50</v>
      </c>
      <c r="D4" s="1">
        <v>90</v>
      </c>
      <c r="E4" s="1">
        <v>50</v>
      </c>
      <c r="G4" s="1" t="s">
        <v>9</v>
      </c>
      <c r="H4" s="1">
        <f>C4-5</f>
        <v>45</v>
      </c>
      <c r="I4" s="1" t="s">
        <v>9</v>
      </c>
      <c r="J4" s="1">
        <f>D4-9.1</f>
        <v>80.900000000000006</v>
      </c>
      <c r="K4" s="1" t="s">
        <v>9</v>
      </c>
      <c r="L4" s="1">
        <f>J4</f>
        <v>80.900000000000006</v>
      </c>
    </row>
    <row r="5" spans="2:12" x14ac:dyDescent="0.2">
      <c r="G5" s="1" t="s">
        <v>11</v>
      </c>
      <c r="H5" s="1">
        <f>E4/3-4</f>
        <v>12.666666666666668</v>
      </c>
      <c r="I5" s="1" t="s">
        <v>11</v>
      </c>
      <c r="J5" s="1">
        <f>H5</f>
        <v>12.666666666666668</v>
      </c>
      <c r="K5" s="1" t="s">
        <v>11</v>
      </c>
      <c r="L5" s="1">
        <f>J5-2</f>
        <v>10.666666666666668</v>
      </c>
    </row>
    <row r="6" spans="2:12" x14ac:dyDescent="0.2">
      <c r="G6" s="1" t="s">
        <v>5</v>
      </c>
      <c r="H6" s="1">
        <f>B4*2</f>
        <v>2</v>
      </c>
      <c r="I6" s="1" t="s">
        <v>5</v>
      </c>
      <c r="J6" s="1">
        <f>B4</f>
        <v>1</v>
      </c>
      <c r="K6" s="1" t="s">
        <v>5</v>
      </c>
      <c r="L6" s="1">
        <f>J6</f>
        <v>1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3" name="Button 1">
              <controlPr defaultSize="0" print="0" autoFill="0" autoPict="0" macro="[0]!Button1_Click">
                <anchor moveWithCells="1" sizeWithCells="1">
                  <from>
                    <xdr:col>2</xdr:col>
                    <xdr:colOff>28575</xdr:colOff>
                    <xdr:row>0</xdr:row>
                    <xdr:rowOff>9525</xdr:rowOff>
                  </from>
                  <to>
                    <xdr:col>3</xdr:col>
                    <xdr:colOff>581025</xdr:colOff>
                    <xdr:row>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4" name="Button 2">
              <controlPr defaultSize="0" print="0" autoFill="0" autoPict="0" macro="[0]!Button2_Click">
                <anchor moveWithCells="1" sizeWithCells="1">
                  <from>
                    <xdr:col>8</xdr:col>
                    <xdr:colOff>0</xdr:colOff>
                    <xdr:row>0</xdr:row>
                    <xdr:rowOff>9525</xdr:rowOff>
                  </from>
                  <to>
                    <xdr:col>9</xdr:col>
                    <xdr:colOff>600075</xdr:colOff>
                    <xdr:row>1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کابینت زمینی</vt:lpstr>
      <vt:lpstr>آنالیز زمینی</vt:lpstr>
      <vt:lpstr>کابینت هوایی</vt:lpstr>
      <vt:lpstr>آنالیز هوایی</vt:lpstr>
      <vt:lpstr>کشو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2025-06-06T10:06:24Z</dcterms:modified>
</cp:coreProperties>
</file>